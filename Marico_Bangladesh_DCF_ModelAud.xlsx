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F:\FP&amp;A\"/>
    </mc:Choice>
  </mc:AlternateContent>
  <xr:revisionPtr revIDLastSave="0" documentId="8_{B9F515EB-8DB5-4EAF-AE07-45FDB119FF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aluation Summary" sheetId="1" r:id="rId1"/>
    <sheet name="Free Cash Flow" sheetId="3" r:id="rId2"/>
    <sheet name="Fixed Assets" sheetId="4" r:id="rId3"/>
    <sheet name="Net Working Capital" sheetId="5" r:id="rId4"/>
    <sheet name="DCF" sheetId="6" r:id="rId5"/>
    <sheet name="WACC" sheetId="7" r:id="rId6"/>
    <sheet name="Data Source --&gt;" sheetId="8" r:id="rId7"/>
    <sheet name="Income Statement" sheetId="9" r:id="rId8"/>
    <sheet name="Balance Sheet" sheetId="10" r:id="rId9"/>
    <sheet name="Cash Flow Statement" sheetId="11" r:id="rId10"/>
  </sheets>
  <definedNames>
    <definedName name="_xlnm._FilterDatabase" localSheetId="6" hidden="1">'Data Source --&gt;'!$A$1:$G$14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11" l="1"/>
  <c r="D21" i="11"/>
  <c r="C21" i="11"/>
  <c r="E16" i="11"/>
  <c r="D16" i="11"/>
  <c r="C16" i="11"/>
  <c r="E6" i="11"/>
  <c r="E10" i="11" s="1"/>
  <c r="E22" i="11" s="1"/>
  <c r="E25" i="11" s="1"/>
  <c r="D6" i="11"/>
  <c r="D10" i="11" s="1"/>
  <c r="D22" i="11" s="1"/>
  <c r="D25" i="11" s="1"/>
  <c r="C6" i="11"/>
  <c r="C10" i="11" s="1"/>
  <c r="D25" i="7"/>
  <c r="D22" i="7"/>
  <c r="D17" i="7"/>
  <c r="D8" i="7"/>
  <c r="D11" i="7" s="1"/>
  <c r="C14" i="7" s="1"/>
  <c r="C18" i="6"/>
  <c r="C17" i="6"/>
  <c r="C16" i="6"/>
  <c r="C24" i="5"/>
  <c r="F21" i="5"/>
  <c r="E21" i="5"/>
  <c r="C21" i="5"/>
  <c r="G21" i="5" s="1"/>
  <c r="H21" i="5" s="1"/>
  <c r="I21" i="5" s="1"/>
  <c r="J21" i="5" s="1"/>
  <c r="K21" i="5" s="1"/>
  <c r="F20" i="5"/>
  <c r="F18" i="5"/>
  <c r="E18" i="5"/>
  <c r="D18" i="5"/>
  <c r="D22" i="5" s="1"/>
  <c r="F17" i="5"/>
  <c r="E17" i="5"/>
  <c r="D17" i="5"/>
  <c r="D26" i="5" s="1"/>
  <c r="F12" i="5"/>
  <c r="F26" i="5" s="1"/>
  <c r="E12" i="5"/>
  <c r="E26" i="5" s="1"/>
  <c r="D12" i="5"/>
  <c r="C12" i="5"/>
  <c r="C26" i="5" s="1"/>
  <c r="B12" i="5"/>
  <c r="F11" i="5"/>
  <c r="F25" i="5" s="1"/>
  <c r="E11" i="5"/>
  <c r="E25" i="5" s="1"/>
  <c r="D11" i="5"/>
  <c r="D25" i="5" s="1"/>
  <c r="C11" i="5"/>
  <c r="C25" i="5" s="1"/>
  <c r="G25" i="5" s="1"/>
  <c r="H25" i="5" s="1"/>
  <c r="I25" i="5" s="1"/>
  <c r="J25" i="5" s="1"/>
  <c r="K25" i="5" s="1"/>
  <c r="B11" i="5"/>
  <c r="F10" i="5"/>
  <c r="F24" i="5" s="1"/>
  <c r="E10" i="5"/>
  <c r="E24" i="5" s="1"/>
  <c r="D10" i="5"/>
  <c r="D24" i="5" s="1"/>
  <c r="C10" i="5"/>
  <c r="F9" i="5"/>
  <c r="F22" i="5" s="1"/>
  <c r="E9" i="5"/>
  <c r="E22" i="5" s="1"/>
  <c r="D9" i="5"/>
  <c r="C9" i="5"/>
  <c r="C22" i="5" s="1"/>
  <c r="G22" i="5" s="1"/>
  <c r="H22" i="5" s="1"/>
  <c r="I22" i="5" s="1"/>
  <c r="J22" i="5" s="1"/>
  <c r="K22" i="5" s="1"/>
  <c r="F7" i="5"/>
  <c r="E19" i="3" s="1"/>
  <c r="F5" i="5"/>
  <c r="E5" i="5"/>
  <c r="D5" i="5"/>
  <c r="D21" i="5" s="1"/>
  <c r="C5" i="5"/>
  <c r="F4" i="5"/>
  <c r="E4" i="5"/>
  <c r="E20" i="5" s="1"/>
  <c r="D4" i="5"/>
  <c r="C4" i="5"/>
  <c r="C20" i="5" s="1"/>
  <c r="K3" i="5"/>
  <c r="G12" i="4"/>
  <c r="H12" i="4" s="1"/>
  <c r="I12" i="4" s="1"/>
  <c r="E7" i="4"/>
  <c r="F4" i="4" s="1"/>
  <c r="D7" i="4"/>
  <c r="C7" i="4"/>
  <c r="E5" i="4"/>
  <c r="E11" i="4" s="1"/>
  <c r="D5" i="4"/>
  <c r="D11" i="4" s="1"/>
  <c r="C5" i="4"/>
  <c r="C11" i="4" s="1"/>
  <c r="E4" i="4"/>
  <c r="E6" i="4" s="1"/>
  <c r="D4" i="4"/>
  <c r="D6" i="4" s="1"/>
  <c r="D12" i="4" s="1"/>
  <c r="C4" i="4"/>
  <c r="C6" i="4" s="1"/>
  <c r="E28" i="3"/>
  <c r="C28" i="3"/>
  <c r="E27" i="3"/>
  <c r="C27" i="3"/>
  <c r="J24" i="3"/>
  <c r="I24" i="3"/>
  <c r="H24" i="3"/>
  <c r="G24" i="3"/>
  <c r="F24" i="3"/>
  <c r="E24" i="3"/>
  <c r="D24" i="3"/>
  <c r="C24" i="3"/>
  <c r="B24" i="3"/>
  <c r="D15" i="3"/>
  <c r="E13" i="3"/>
  <c r="D13" i="3"/>
  <c r="C13" i="3"/>
  <c r="E11" i="3"/>
  <c r="E15" i="3" s="1"/>
  <c r="D11" i="3"/>
  <c r="C11" i="3"/>
  <c r="C15" i="3" s="1"/>
  <c r="E8" i="3"/>
  <c r="E9" i="3" s="1"/>
  <c r="D8" i="3"/>
  <c r="D28" i="3" s="1"/>
  <c r="C8" i="3"/>
  <c r="C9" i="3" s="1"/>
  <c r="E5" i="3"/>
  <c r="D5" i="3"/>
  <c r="D27" i="3" s="1"/>
  <c r="C5" i="3"/>
  <c r="F4" i="3"/>
  <c r="E4" i="3"/>
  <c r="E25" i="3" s="1"/>
  <c r="D4" i="3"/>
  <c r="D25" i="3" s="1"/>
  <c r="C4" i="3"/>
  <c r="C6" i="3" s="1"/>
  <c r="B25" i="1"/>
  <c r="B24" i="1"/>
  <c r="B23" i="1"/>
  <c r="B22" i="1"/>
  <c r="B21" i="1"/>
  <c r="B20" i="1"/>
  <c r="B16" i="1"/>
  <c r="B14" i="1"/>
  <c r="B13" i="1"/>
  <c r="B12" i="1"/>
  <c r="B4" i="1"/>
  <c r="D6" i="3" l="1"/>
  <c r="D9" i="3"/>
  <c r="F28" i="3"/>
  <c r="J12" i="4"/>
  <c r="G4" i="3"/>
  <c r="G17" i="5"/>
  <c r="D16" i="3"/>
  <c r="G26" i="5"/>
  <c r="H26" i="5" s="1"/>
  <c r="I26" i="5" s="1"/>
  <c r="J26" i="5" s="1"/>
  <c r="K26" i="5" s="1"/>
  <c r="G20" i="5"/>
  <c r="E18" i="3"/>
  <c r="C16" i="3"/>
  <c r="C12" i="4"/>
  <c r="E16" i="3"/>
  <c r="E12" i="4"/>
  <c r="C10" i="3"/>
  <c r="C12" i="3" s="1"/>
  <c r="F27" i="3"/>
  <c r="F6" i="4"/>
  <c r="F16" i="3" s="1"/>
  <c r="F11" i="4"/>
  <c r="G24" i="5"/>
  <c r="H24" i="5" s="1"/>
  <c r="I24" i="5" s="1"/>
  <c r="J24" i="5" s="1"/>
  <c r="K24" i="5" s="1"/>
  <c r="F17" i="11"/>
  <c r="C22" i="11"/>
  <c r="C25" i="11" s="1"/>
  <c r="C13" i="5"/>
  <c r="D14" i="7"/>
  <c r="D27" i="7" s="1"/>
  <c r="C12" i="6" s="1"/>
  <c r="C7" i="5"/>
  <c r="D13" i="5"/>
  <c r="C20" i="3" s="1"/>
  <c r="D7" i="5"/>
  <c r="C19" i="3" s="1"/>
  <c r="E13" i="5"/>
  <c r="D20" i="3" s="1"/>
  <c r="D20" i="5"/>
  <c r="E6" i="3"/>
  <c r="E10" i="3" s="1"/>
  <c r="E12" i="3" s="1"/>
  <c r="E7" i="5"/>
  <c r="D19" i="3" s="1"/>
  <c r="D18" i="3" s="1"/>
  <c r="F13" i="5"/>
  <c r="E20" i="3" s="1"/>
  <c r="F14" i="6" l="1"/>
  <c r="F15" i="6"/>
  <c r="F16" i="6"/>
  <c r="F17" i="6"/>
  <c r="F13" i="6"/>
  <c r="B19" i="1"/>
  <c r="E17" i="3"/>
  <c r="H20" i="5"/>
  <c r="G4" i="5"/>
  <c r="G28" i="3"/>
  <c r="H28" i="3" s="1"/>
  <c r="I28" i="3" s="1"/>
  <c r="J28" i="3" s="1"/>
  <c r="F8" i="3"/>
  <c r="F9" i="3" s="1"/>
  <c r="C14" i="3"/>
  <c r="C29" i="3"/>
  <c r="C18" i="3"/>
  <c r="C17" i="3" s="1"/>
  <c r="G11" i="4"/>
  <c r="F5" i="4"/>
  <c r="G12" i="5"/>
  <c r="G11" i="5"/>
  <c r="G10" i="5"/>
  <c r="G27" i="3"/>
  <c r="H27" i="3" s="1"/>
  <c r="I27" i="3" s="1"/>
  <c r="J27" i="3" s="1"/>
  <c r="F5" i="3"/>
  <c r="D10" i="3"/>
  <c r="D12" i="3" s="1"/>
  <c r="H4" i="3"/>
  <c r="H17" i="5"/>
  <c r="G8" i="3"/>
  <c r="G9" i="3" s="1"/>
  <c r="E29" i="3"/>
  <c r="E14" i="3"/>
  <c r="E21" i="3" s="1"/>
  <c r="F4" i="6" s="1"/>
  <c r="H12" i="5" l="1"/>
  <c r="H11" i="5"/>
  <c r="H10" i="5"/>
  <c r="I17" i="5"/>
  <c r="H8" i="3"/>
  <c r="H9" i="3" s="1"/>
  <c r="H6" i="3"/>
  <c r="H10" i="3" s="1"/>
  <c r="H5" i="3"/>
  <c r="I18" i="5" s="1"/>
  <c r="I4" i="3"/>
  <c r="H11" i="4"/>
  <c r="I20" i="5"/>
  <c r="H4" i="5"/>
  <c r="D14" i="3"/>
  <c r="D29" i="3"/>
  <c r="G18" i="5"/>
  <c r="F6" i="3"/>
  <c r="F10" i="3" s="1"/>
  <c r="F12" i="3" s="1"/>
  <c r="F15" i="3"/>
  <c r="F11" i="3"/>
  <c r="F7" i="4"/>
  <c r="G4" i="4" s="1"/>
  <c r="G5" i="3"/>
  <c r="D17" i="3"/>
  <c r="C21" i="3"/>
  <c r="D4" i="6" s="1"/>
  <c r="I4" i="5" l="1"/>
  <c r="I7" i="5" s="1"/>
  <c r="H19" i="3" s="1"/>
  <c r="J20" i="5"/>
  <c r="J17" i="5"/>
  <c r="J4" i="3"/>
  <c r="I8" i="3"/>
  <c r="I9" i="3" s="1"/>
  <c r="I5" i="3"/>
  <c r="J18" i="5" s="1"/>
  <c r="H18" i="5"/>
  <c r="G6" i="3"/>
  <c r="G10" i="3" s="1"/>
  <c r="I5" i="5"/>
  <c r="I9" i="5"/>
  <c r="G6" i="4"/>
  <c r="G16" i="3" s="1"/>
  <c r="F13" i="3"/>
  <c r="F14" i="3" s="1"/>
  <c r="G9" i="5"/>
  <c r="G13" i="5" s="1"/>
  <c r="F20" i="3" s="1"/>
  <c r="G5" i="5"/>
  <c r="G7" i="5" s="1"/>
  <c r="F19" i="3" s="1"/>
  <c r="I12" i="5"/>
  <c r="I11" i="5"/>
  <c r="I10" i="5"/>
  <c r="D21" i="3"/>
  <c r="E4" i="6" s="1"/>
  <c r="G5" i="4"/>
  <c r="G7" i="4" s="1"/>
  <c r="H4" i="4" s="1"/>
  <c r="I11" i="4"/>
  <c r="H6" i="4" l="1"/>
  <c r="H16" i="3" s="1"/>
  <c r="H5" i="4"/>
  <c r="J9" i="5"/>
  <c r="J13" i="5" s="1"/>
  <c r="I20" i="3" s="1"/>
  <c r="J5" i="5"/>
  <c r="K17" i="5"/>
  <c r="J8" i="3"/>
  <c r="J9" i="3" s="1"/>
  <c r="J6" i="3"/>
  <c r="J10" i="3" s="1"/>
  <c r="J5" i="3"/>
  <c r="K18" i="5" s="1"/>
  <c r="J11" i="4"/>
  <c r="G15" i="3"/>
  <c r="G11" i="3"/>
  <c r="G12" i="3" s="1"/>
  <c r="I6" i="3"/>
  <c r="I10" i="3" s="1"/>
  <c r="I13" i="5"/>
  <c r="H20" i="3" s="1"/>
  <c r="J12" i="5"/>
  <c r="J11" i="5"/>
  <c r="J10" i="5"/>
  <c r="H18" i="3"/>
  <c r="H5" i="5"/>
  <c r="H7" i="5" s="1"/>
  <c r="G19" i="3" s="1"/>
  <c r="H9" i="5"/>
  <c r="H13" i="5" s="1"/>
  <c r="G20" i="3" s="1"/>
  <c r="F18" i="3"/>
  <c r="F17" i="3" s="1"/>
  <c r="F21" i="3" s="1"/>
  <c r="G4" i="6" s="1"/>
  <c r="J4" i="5"/>
  <c r="K20" i="5"/>
  <c r="G7" i="6" l="1"/>
  <c r="G13" i="3"/>
  <c r="G14" i="3" s="1"/>
  <c r="G21" i="3" s="1"/>
  <c r="H4" i="6" s="1"/>
  <c r="K11" i="5"/>
  <c r="K10" i="5"/>
  <c r="K12" i="5"/>
  <c r="G18" i="3"/>
  <c r="G17" i="3" s="1"/>
  <c r="H15" i="3"/>
  <c r="H11" i="3"/>
  <c r="H12" i="3" s="1"/>
  <c r="K9" i="5"/>
  <c r="K5" i="5"/>
  <c r="K4" i="5"/>
  <c r="H7" i="4"/>
  <c r="I4" i="4" s="1"/>
  <c r="J7" i="5"/>
  <c r="I19" i="3" s="1"/>
  <c r="I18" i="3" s="1"/>
  <c r="I17" i="3" s="1"/>
  <c r="H7" i="6" l="1"/>
  <c r="K7" i="5"/>
  <c r="J19" i="3" s="1"/>
  <c r="K13" i="5"/>
  <c r="J20" i="3" s="1"/>
  <c r="H13" i="3"/>
  <c r="H14" i="3" s="1"/>
  <c r="H21" i="3" s="1"/>
  <c r="I4" i="6" s="1"/>
  <c r="I6" i="4"/>
  <c r="I16" i="3" s="1"/>
  <c r="I5" i="4"/>
  <c r="H17" i="3"/>
  <c r="I7" i="6" l="1"/>
  <c r="I7" i="4"/>
  <c r="J4" i="4" s="1"/>
  <c r="J18" i="3"/>
  <c r="J17" i="3" s="1"/>
  <c r="I11" i="3"/>
  <c r="I12" i="3" s="1"/>
  <c r="I15" i="3"/>
  <c r="I13" i="3" l="1"/>
  <c r="I14" i="3" s="1"/>
  <c r="I21" i="3" s="1"/>
  <c r="J4" i="6" s="1"/>
  <c r="J6" i="4"/>
  <c r="J16" i="3" s="1"/>
  <c r="J5" i="4"/>
  <c r="J7" i="6" l="1"/>
  <c r="J15" i="3"/>
  <c r="J11" i="3"/>
  <c r="J12" i="3" s="1"/>
  <c r="J7" i="4"/>
  <c r="J14" i="3" l="1"/>
  <c r="J21" i="3" s="1"/>
  <c r="K4" i="6" s="1"/>
  <c r="J13" i="3"/>
  <c r="C13" i="6" l="1"/>
  <c r="C14" i="6" s="1"/>
  <c r="K7" i="6"/>
  <c r="C10" i="6" s="1"/>
  <c r="B9" i="1" s="1"/>
  <c r="H16" i="6"/>
  <c r="H17" i="6"/>
  <c r="I17" i="6"/>
  <c r="J16" i="6"/>
  <c r="G15" i="6"/>
  <c r="G13" i="6"/>
  <c r="H14" i="6"/>
  <c r="K15" i="6"/>
  <c r="J17" i="6"/>
  <c r="H13" i="6"/>
  <c r="J14" i="6"/>
  <c r="I16" i="6"/>
  <c r="J13" i="6"/>
  <c r="K16" i="6"/>
  <c r="I13" i="6"/>
  <c r="G14" i="6"/>
  <c r="I14" i="6"/>
  <c r="G16" i="6"/>
  <c r="G17" i="6"/>
  <c r="I15" i="6"/>
  <c r="J15" i="6"/>
  <c r="K17" i="6"/>
  <c r="H15" i="6"/>
  <c r="K13" i="6"/>
  <c r="K14" i="6"/>
  <c r="C15" i="6" l="1"/>
  <c r="B10" i="1"/>
  <c r="C19" i="6" l="1"/>
  <c r="B11" i="1"/>
  <c r="C21" i="6" l="1"/>
  <c r="B15" i="1"/>
  <c r="F12" i="6" l="1"/>
  <c r="B5" i="1"/>
  <c r="B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000-000001000000}">
      <text>
        <r>
          <rPr>
            <sz val="10"/>
            <rFont val="Arial"/>
            <family val="2"/>
          </rPr>
          <t>Review date. Market-price input should correspond to the latest available trading session on or before this date.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500-000001000000}">
      <text>
        <r>
          <rPr>
            <sz val="10"/>
            <rFont val="Arial"/>
            <family val="2"/>
          </rPr>
          <t>Linked to WACC!D27, which now uses the weighted after-tax debt cost and equity cost formula.</t>
        </r>
      </text>
    </comment>
    <comment ref="C13" authorId="0" shapeId="0" xr:uid="{00000000-0006-0000-0500-000002000000}">
      <text>
        <r>
          <rPr>
            <sz val="10"/>
            <rFont val="Arial"/>
            <family val="2"/>
          </rPr>
          <t>Gordon growth terminal value using FY2031 UFCF grown by the perpetual growth rate. Must satisfy WACC &gt; perpetual growth.</t>
        </r>
      </text>
    </comment>
    <comment ref="C16" authorId="0" shapeId="0" xr:uid="{00000000-0006-0000-0500-000003000000}">
      <text>
        <r>
          <rPr>
            <sz val="10"/>
            <rFont val="Arial"/>
            <family val="2"/>
          </rPr>
          <t>Includes cash and other current financial assets from FY2025–26 balance sheet. Confirm both are cash-like and available to equity holders.</t>
        </r>
      </text>
    </comment>
    <comment ref="C17" authorId="0" shapeId="0" xr:uid="{00000000-0006-0000-0500-000004000000}">
      <text>
        <r>
          <rPr>
            <sz val="10"/>
            <rFont val="Arial"/>
            <family val="2"/>
          </rPr>
          <t>Debt input linked to WACC!D9. Check whether any lease liabilities should be treated as debt consistently in both WACC and the equity bridge.</t>
        </r>
      </text>
    </comment>
    <comment ref="C21" authorId="0" shapeId="0" xr:uid="{00000000-0006-0000-0500-000005000000}">
      <text>
        <r>
          <rPr>
            <sz val="10"/>
            <rFont val="Arial"/>
            <family val="2"/>
          </rPr>
          <t>Implied share price formula = equity value / diluted shares outstanding. See Valuation Summary tab.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5" authorId="0" shapeId="0" xr:uid="{00000000-0006-0000-0600-000001000000}">
      <text>
        <r>
          <rPr>
            <sz val="10"/>
            <rFont val="Arial"/>
            <family val="2"/>
          </rPr>
          <t>Captured from the Dhaka Stock Exchange MARICO company page during the 2026-10-23 workbook review. Reconfirm quote and timestamp before publishing.</t>
        </r>
      </text>
    </comment>
    <comment ref="D9" authorId="0" shapeId="0" xr:uid="{00000000-0006-0000-0600-000002000000}">
      <text>
        <r>
          <rPr>
            <sz val="10"/>
            <rFont val="Arial"/>
            <family val="2"/>
          </rPr>
          <t>Currently set to zero. Check FY2025–26 balance sheet for interest-bearing borrowings. Lease liabilities are excluded from debt here; state and apply a consistent lease-liability treatment.</t>
        </r>
      </text>
    </comment>
    <comment ref="D25" authorId="0" shapeId="0" xr:uid="{00000000-0006-0000-0600-000003000000}">
      <text>
        <r>
          <rPr>
            <sz val="10"/>
            <rFont val="Arial"/>
            <family val="2"/>
          </rPr>
          <t>Cost of equity = risk-free rate + levered beta × equity risk premium. Inputs D16, D21, D23 and D24 require source documentation.</t>
        </r>
      </text>
    </comment>
    <comment ref="D27" authorId="0" shapeId="0" xr:uid="{00000000-0006-0000-0600-000004000000}">
      <text>
        <r>
          <rPr>
            <sz val="10"/>
            <rFont val="Arial"/>
            <family val="2"/>
          </rPr>
          <t>WACC = debt weight × after-tax cost of debt + equity weight × cost of equity. Weights are C14 (debt) and D14 (equity). With D9=0, debt weight is zero and WACC equals cost of equity; formula still works if debt is later added.</t>
        </r>
      </text>
    </comment>
  </commentList>
</comments>
</file>

<file path=xl/sharedStrings.xml><?xml version="1.0" encoding="utf-8"?>
<sst xmlns="http://schemas.openxmlformats.org/spreadsheetml/2006/main" count="286" uniqueCount="248">
  <si>
    <t>MARICO BANGLADESH LIMITED | DCF VALUATION SUMMARY</t>
  </si>
  <si>
    <t>Valuation date</t>
  </si>
  <si>
    <t>Latest market price input (BDT/share)</t>
  </si>
  <si>
    <t>Model implied share price (BDT/share)</t>
  </si>
  <si>
    <t>Implied upside / (downside) vs market</t>
  </si>
  <si>
    <t>Valuation Outputs (BDT millions unless stated)</t>
  </si>
  <si>
    <t>Present value of forecast UFCF</t>
  </si>
  <si>
    <t>Present value of terminal value</t>
  </si>
  <si>
    <t>Enterprise value</t>
  </si>
  <si>
    <t>Add: cash and other financial assets</t>
  </si>
  <si>
    <t>Less: interest-bearing debt</t>
  </si>
  <si>
    <t>Less: minority interest</t>
  </si>
  <si>
    <t>Equity value</t>
  </si>
  <si>
    <t>Diluted shares outstanding (millions)</t>
  </si>
  <si>
    <t>Key Assumptions</t>
  </si>
  <si>
    <t>WACC</t>
  </si>
  <si>
    <t>Perpetual growth rate</t>
  </si>
  <si>
    <t>Risk-free rate</t>
  </si>
  <si>
    <t>Equity risk premium</t>
  </si>
  <si>
    <t>Levered beta</t>
  </si>
  <si>
    <t>Pre-tax cost of debt</t>
  </si>
  <si>
    <t>Tax rate</t>
  </si>
  <si>
    <t>Forecast period</t>
  </si>
  <si>
    <t>FY2026–27 to FY2030–31</t>
  </si>
  <si>
    <t>Important review notes</t>
  </si>
  <si>
    <t>• Forecast assumptions are analyst estimates, not company guidance.</t>
  </si>
  <si>
    <t>• Risk-free rate, ERP, beta, and cost of debt still require dated supporting sources.</t>
  </si>
  <si>
    <t>• Historical statement inputs have not all been independently tied to annual-report pages.</t>
  </si>
  <si>
    <t>• Working-capital projections imply unusually high days payable outstanding; review the operating rationale.</t>
  </si>
  <si>
    <t>• Cash and other financial assets are both added in the equity bridge; confirm both are excess/non-operating cash-like balances.</t>
  </si>
  <si>
    <t>• Sensitivity table reports implied share price (BDT/share) using WACC rows and terminal-growth columns.</t>
  </si>
  <si>
    <t>Primary sources</t>
  </si>
  <si>
    <t>Marico Bangladesh annual reports</t>
  </si>
  <si>
    <t>https://marico.com/bangladesh/investors/annual-report</t>
  </si>
  <si>
    <t>Dhaka Stock Exchange — MARICO</t>
  </si>
  <si>
    <t>https://www.dse.com.bd/company/MARICO</t>
  </si>
  <si>
    <t>Unlevered Free Cash Flow (mm)</t>
  </si>
  <si>
    <t>Fiscal Year</t>
  </si>
  <si>
    <t>Revenue</t>
  </si>
  <si>
    <t>COGS</t>
  </si>
  <si>
    <t>Gross Profit</t>
  </si>
  <si>
    <t>Operating Expenses</t>
  </si>
  <si>
    <t>Selling, General, Administrative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</si>
  <si>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</si>
  <si>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</si>
  <si>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</si>
  <si>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</si>
  <si>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</si>
  <si>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</si>
  <si>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</si>
  <si>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</si>
  <si>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</si>
  <si>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</si>
  <si>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</si>
  <si>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</si>
  <si>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</si>
  <si>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</si>
  <si>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</si>
  <si>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</si>
  <si>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SG&amp;A % of Revenue</t>
  </si>
  <si>
    <t>Tax % of EBIT</t>
  </si>
  <si>
    <t>Fixed Assets Schedule</t>
  </si>
  <si>
    <t>Beginning PP&amp;E</t>
  </si>
  <si>
    <t>D&amp;A</t>
  </si>
  <si>
    <t>CapEx</t>
  </si>
  <si>
    <t>Ending PP&amp;E</t>
  </si>
  <si>
    <t>D&amp;A as a % of Beginning PP&amp;E</t>
  </si>
  <si>
    <t>CapEx as a % of Beginning PP&amp;E</t>
  </si>
  <si>
    <t>Net Working Capital</t>
  </si>
  <si>
    <t>Accounts Receivables</t>
  </si>
  <si>
    <t>Inventory</t>
  </si>
  <si>
    <t>Other Current Assets</t>
  </si>
  <si>
    <t>Accounts Payable</t>
  </si>
  <si>
    <t>Accrued Salaries and Benefits</t>
  </si>
  <si>
    <t>Current Liabilities</t>
  </si>
  <si>
    <t>Days Sales Outstanding (DSO)</t>
  </si>
  <si>
    <t>Days Inventory Outstanding (DIO)</t>
  </si>
  <si>
    <t>Days Payable Outstanding (DPO)</t>
  </si>
  <si>
    <t>Accrued Salaries as a % of Revenue</t>
  </si>
  <si>
    <t>Current Tax &amp; Other Pay as a % of Revenue</t>
  </si>
  <si>
    <t>Other Current Liabilities as a % of Revenue</t>
  </si>
  <si>
    <t>Projection Year</t>
  </si>
  <si>
    <t>Present Value of Free Cash Flow</t>
  </si>
  <si>
    <t>Implied Share Price Calculation</t>
  </si>
  <si>
    <t>Sensitivity Table</t>
  </si>
  <si>
    <t>Sum of PV of FCF</t>
  </si>
  <si>
    <t>Growth Rate</t>
  </si>
  <si>
    <t>Terminal Value</t>
  </si>
  <si>
    <t>PV of Terminal Value</t>
  </si>
  <si>
    <t>Enterprise Value</t>
  </si>
  <si>
    <t>(+) Cash and other financial assets</t>
  </si>
  <si>
    <t>(-) Debt</t>
  </si>
  <si>
    <t>(-) Minority Interest</t>
  </si>
  <si>
    <t>Equity Value</t>
  </si>
  <si>
    <t>Diluted Shares Outstanding (mm)</t>
  </si>
  <si>
    <t>Implied Share Price</t>
  </si>
  <si>
    <t xml:space="preserve">Weight Average Cost OF Capital </t>
  </si>
  <si>
    <t>Capital Structure &amp; Weights</t>
  </si>
  <si>
    <t xml:space="preserve">Share  Price </t>
  </si>
  <si>
    <t xml:space="preserve">Outstanding Shares </t>
  </si>
  <si>
    <t>Market  Value OF Equity</t>
  </si>
  <si>
    <t>Total Interest-Bearing Debt</t>
  </si>
  <si>
    <t xml:space="preserve">Total  Capitalization </t>
  </si>
  <si>
    <t xml:space="preserve">Weight </t>
  </si>
  <si>
    <t>Debt</t>
  </si>
  <si>
    <t xml:space="preserve">Equity </t>
  </si>
  <si>
    <t xml:space="preserve">Taarget  Debt /equity ratio </t>
  </si>
  <si>
    <t xml:space="preserve">unlevered  Beta </t>
  </si>
  <si>
    <t xml:space="preserve">Levered Beta </t>
  </si>
  <si>
    <t xml:space="preserve">Cost OF Debt </t>
  </si>
  <si>
    <t xml:space="preserve">Pre-tax  Cost of Debt </t>
  </si>
  <si>
    <t xml:space="preserve">Tax Rate </t>
  </si>
  <si>
    <t>After-tax  Cost  of Debt</t>
  </si>
  <si>
    <t>Equity Market Risk Premium (ERP)</t>
  </si>
  <si>
    <t xml:space="preserve">Risk  Free Rate </t>
  </si>
  <si>
    <t xml:space="preserve">Expected Cost of Equity </t>
  </si>
  <si>
    <t xml:space="preserve">WACC </t>
  </si>
  <si>
    <t>Input / Data Item</t>
  </si>
  <si>
    <t>Period / Coverage</t>
  </si>
  <si>
    <t>Source / Method</t>
  </si>
  <si>
    <t>URL</t>
  </si>
  <si>
    <t>Date Accessed</t>
  </si>
  <si>
    <t>Model Location</t>
  </si>
  <si>
    <t>Notes / Audit Status</t>
  </si>
  <si>
    <t>Annual report / audited financial statements</t>
  </si>
  <si>
    <t>FY2023–24</t>
  </si>
  <si>
    <t>Official Marico Bangladesh investor-relations annual report archive</t>
  </si>
  <si>
    <t>Income Statement; Balance Sheet; Cash Flow Statement</t>
  </si>
  <si>
    <t>Use the FY2023–24 report for historical inputs. Verify every figure and unit against the report before external publication.</t>
  </si>
  <si>
    <t>FY2024–25</t>
  </si>
  <si>
    <t>FY2024–25 report is listed on the official archive. Workbook figures have not been independently cross-footed to every report page.</t>
  </si>
  <si>
    <t>FY2025–26</t>
  </si>
  <si>
    <t>FY2025–26 report is listed on the official archive. Check statements and comparative figures against the PDF.</t>
  </si>
  <si>
    <t>Market price per share</t>
  </si>
  <si>
    <t>Captured 2026-10-23</t>
  </si>
  <si>
    <t>Dhaka Stock Exchange company page (MARICO)</t>
  </si>
  <si>
    <t>WACC!D5</t>
  </si>
  <si>
    <t>Workbook input updated to BDT 2,668.90 based on the DSE page retrieved during this review. Confirm the displayed quote/date before publishing.</t>
  </si>
  <si>
    <t>Shares outstanding</t>
  </si>
  <si>
    <t>31.5 million</t>
  </si>
  <si>
    <t>WACC!D6; DCF!C20</t>
  </si>
  <si>
    <t>DSE page reports 31,500,000 outstanding securities. Workbook uses millions of shares.</t>
  </si>
  <si>
    <t>Market-price cross-check (secondary)</t>
  </si>
  <si>
    <t>Historical / delayed market data</t>
  </si>
  <si>
    <t>StockAnalysis MARICO historical price page</t>
  </si>
  <si>
    <t>https://stockanalysis.com/quote/dse/MARICO/history/</t>
  </si>
  <si>
    <t>Cross-check only</t>
  </si>
  <si>
    <t>Secondary source only; use DSE/company disclosures as primary sources.</t>
  </si>
  <si>
    <t>Model assumption: 8.54%</t>
  </si>
  <si>
    <t>Existing workbook input; source not supplied</t>
  </si>
  <si>
    <t>WACC!D24</t>
  </si>
  <si>
    <t>Source required. Replace with a dated Bangladesh government bond yield or another clearly justified local-currency proxy.</t>
  </si>
  <si>
    <t>Model assumption: 7.00%</t>
  </si>
  <si>
    <t>WACC!D23</t>
  </si>
  <si>
    <t>Source and rationale required; do not present as independently verified.</t>
  </si>
  <si>
    <t>Unlevered beta</t>
  </si>
  <si>
    <t>Model assumption: 0.60</t>
  </si>
  <si>
    <t>WACC!D16</t>
  </si>
  <si>
    <t>Source required. Document comparable companies, regression source, or a defensible sector estimate.</t>
  </si>
  <si>
    <t>Model assumption: 11.50%</t>
  </si>
  <si>
    <t>WACC!D20</t>
  </si>
  <si>
    <t>Source required. If the company has no interest-bearing borrowings, explain why a debt cost remains in the schedule.</t>
  </si>
  <si>
    <t>Model assumption: 22.50%</t>
  </si>
  <si>
    <t>Existing workbook forecast assumption</t>
  </si>
  <si>
    <t>WACC!D21; Free Cash Flow!F29:J29</t>
  </si>
  <si>
    <t>Validate against applicable tax rules and the company’s effective/marginal tax position.</t>
  </si>
  <si>
    <t>Forecast assumptions</t>
  </si>
  <si>
    <t>Analyst assumptions in workbook; not company guidance</t>
  </si>
  <si>
    <t>Free Cash Flow; Fixed Assets; Net Working Capital</t>
  </si>
  <si>
    <t>Revenue growth, cost ratios, tax, capex, depreciation and working-capital drivers are assumptions, not sourced forecasts. Explain rationale in the model or README.</t>
  </si>
  <si>
    <t>2026-10-23</t>
  </si>
  <si>
    <t>Review date used for this workbook update</t>
  </si>
  <si>
    <t>Valuation Summary!B4</t>
  </si>
  <si>
    <t>Market price should correspond to this date or the latest available trading date, and should be labelled accordingly.</t>
  </si>
  <si>
    <t>Consolidated Statements Of Income - in Millions BDT</t>
  </si>
  <si>
    <t>REVENUE</t>
  </si>
  <si>
    <t>Total revenue</t>
  </si>
  <si>
    <t>OPERATING EXPENSES</t>
  </si>
  <si>
    <t>Selling, general and administrative</t>
  </si>
  <si>
    <t>Preopening expenses</t>
  </si>
  <si>
    <t>Operating Income</t>
  </si>
  <si>
    <t>OTHER INCOME (EXPENSE)</t>
  </si>
  <si>
    <t>Interest expense</t>
  </si>
  <si>
    <t>Interest income and other, net</t>
  </si>
  <si>
    <t>INCOME BEFORE INCOME TAXES</t>
  </si>
  <si>
    <t>Income Tax Expense (Benefit)</t>
  </si>
  <si>
    <t>Net Income</t>
  </si>
  <si>
    <t>Diluted (shares)</t>
  </si>
  <si>
    <t>Consolidated Balance Sheets - BDT in Millions</t>
  </si>
  <si>
    <t>CURRENT ASSETS</t>
  </si>
  <si>
    <t>Cash and cash equivalents</t>
  </si>
  <si>
    <t>Other financial assets (current)</t>
  </si>
  <si>
    <t>Accounts Receivable</t>
  </si>
  <si>
    <t xml:space="preserve">Inventories </t>
  </si>
  <si>
    <t>Other current assets</t>
  </si>
  <si>
    <t>Total current assets</t>
  </si>
  <si>
    <t>OTHER ASSETS</t>
  </si>
  <si>
    <t>Property and Equipment, net</t>
  </si>
  <si>
    <t>Operating lease right-of-use assets</t>
  </si>
  <si>
    <t>Other long-term assets</t>
  </si>
  <si>
    <t>TOTAL ASSETS</t>
  </si>
  <si>
    <t>CURRENT LIABILITIES</t>
  </si>
  <si>
    <t>Accounts payable</t>
  </si>
  <si>
    <t>Accrued salaries and benefits</t>
  </si>
  <si>
    <t>Current tax and other payables</t>
  </si>
  <si>
    <t>Short-term borrowings</t>
  </si>
  <si>
    <t>Current portion of long-term debt</t>
  </si>
  <si>
    <t>Lease liabilities (current)</t>
  </si>
  <si>
    <t>Total current liabilities</t>
  </si>
  <si>
    <t>OTHER LIABILITIES</t>
  </si>
  <si>
    <t>Long-term debt, excluding current portion</t>
  </si>
  <si>
    <t>Long-term operating lease liabilities</t>
  </si>
  <si>
    <t>Other long-term liabilities</t>
  </si>
  <si>
    <t>Total liabilities</t>
  </si>
  <si>
    <t>EQUITY</t>
  </si>
  <si>
    <t>Preferred stock</t>
  </si>
  <si>
    <t>Common Stock (31.5M shares issued and outstanding @10 tk par</t>
  </si>
  <si>
    <t>Additional paid-in capital (Share premium)</t>
  </si>
  <si>
    <t>Accumulated other comprehensive loss</t>
  </si>
  <si>
    <t>Retained earnings</t>
  </si>
  <si>
    <t>Total  stockholders' equity</t>
  </si>
  <si>
    <t>Noncontrolling interests</t>
  </si>
  <si>
    <t>Total equity</t>
  </si>
  <si>
    <t>TOTAL LIABILITIES AND EQUITY</t>
  </si>
  <si>
    <t>Consolidated Statements Of Cash Flows - BDT in Millions</t>
  </si>
  <si>
    <t>Particulars</t>
  </si>
  <si>
    <t>COllection from customers and others</t>
  </si>
  <si>
    <t>Payment to suppliers and for operating expenses</t>
  </si>
  <si>
    <t>Cash generated from operating activities</t>
  </si>
  <si>
    <t>Interest paid</t>
  </si>
  <si>
    <t>Interest received</t>
  </si>
  <si>
    <t>Income tax paid</t>
  </si>
  <si>
    <t>Net cash from operating activities</t>
  </si>
  <si>
    <t>Cash flows from investing activities</t>
  </si>
  <si>
    <t>Acquisition of property, plant and equipment</t>
  </si>
  <si>
    <t>Acquisition of intangible assets</t>
  </si>
  <si>
    <t>Proceeds from disposal of PPE</t>
  </si>
  <si>
    <t>Encashment of/(Investment in) fixed deposits</t>
  </si>
  <si>
    <t>Net cash used in investing activities</t>
  </si>
  <si>
    <t>Cash flows from financing activities</t>
  </si>
  <si>
    <t>Net proceeds from loans and borrowings</t>
  </si>
  <si>
    <t>Dividend paid</t>
  </si>
  <si>
    <t>Payment of lease liability</t>
  </si>
  <si>
    <t>Net cash used in financing activities</t>
  </si>
  <si>
    <t>Net increase in cash and cash equivalents</t>
  </si>
  <si>
    <t>Effect of exchange rate fluctuations on cash held</t>
  </si>
  <si>
    <t>Opening cash and cash equivalents</t>
  </si>
  <si>
    <t>Closing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</si>
</sst>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 mmmm\ yyyy"/>
    <numFmt numFmtId="165" formatCode="0.0%;[Red]\(0.0%\)"/>
    <numFmt numFmtId="166" formatCode="#,##0.00;[Red]\(#,##0.00\);\-"/>
    <numFmt numFmtId="167" formatCode="0.00\x"/>
    <numFmt numFmtId="168" formatCode="yyyy\A"/>
    <numFmt numFmtId="169" formatCode="yyyy\E"/>
    <numFmt numFmtId="170" formatCode="#,##0_);\(#,##0\);&quot;--&quot;_)"/>
    <numFmt numFmtId="171" formatCode="0.0%"/>
    <numFmt numFmtId="172" formatCode="0.000000%"/>
    <numFmt numFmtId="173" formatCode="yyyy\-mm\-dd"/>
  </numFmts>
  <fonts count="19">
    <font>
      <sz val="11"/>
      <color theme="1"/>
      <name val="Calibri"/>
      <charset val="1"/>
    </font>
    <font>
      <sz val="10"/>
      <name val="Arial"/>
      <family val="2"/>
    </font>
    <font>
      <b/>
      <sz val="16"/>
      <color rgb="FFFFFFFF"/>
      <name val="Cambria"/>
      <family val="1"/>
    </font>
    <font>
      <b/>
      <sz val="11"/>
      <color rgb="FF1F4E78"/>
      <name val="Cambria"/>
      <family val="1"/>
    </font>
    <font>
      <b/>
      <sz val="11"/>
      <color rgb="FFFFFFFF"/>
      <name val="Cambria"/>
      <family val="1"/>
    </font>
    <font>
      <sz val="12"/>
      <color theme="10"/>
      <name val="Calibri"/>
      <family val="2"/>
      <charset val="1"/>
    </font>
    <font>
      <b/>
      <sz val="11"/>
      <color rgb="FF17365D"/>
      <name val="Cambria"/>
      <family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color theme="1"/>
      <name val="Google Sans Text"/>
      <family val="2"/>
      <charset val="1"/>
    </font>
    <font>
      <b/>
      <sz val="12"/>
      <name val="Calibri"/>
      <family val="2"/>
      <charset val="1"/>
    </font>
    <font>
      <sz val="11"/>
      <color rgb="FF0070C0"/>
      <name val="Times New Roman"/>
      <family val="1"/>
      <charset val="1"/>
    </font>
    <font>
      <sz val="11"/>
      <color rgb="FF0F1115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8"/>
      <color rgb="FF0F1115"/>
      <name val="Segoe U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4F8FB"/>
        <bgColor rgb="FFF5F8FA"/>
      </patternFill>
    </fill>
    <fill>
      <patternFill patternType="solid">
        <fgColor rgb="FF1F4E78"/>
        <bgColor rgb="FF17365D"/>
      </patternFill>
    </fill>
    <fill>
      <patternFill patternType="solid">
        <fgColor theme="9" tint="0.59987182226020086"/>
        <bgColor rgb="FFD9D9D9"/>
      </patternFill>
    </fill>
    <fill>
      <patternFill patternType="solid">
        <fgColor rgb="FFD9E2F3"/>
        <bgColor rgb="FFD9EAF7"/>
      </patternFill>
    </fill>
    <fill>
      <patternFill patternType="solid">
        <fgColor theme="5" tint="0.59987182226020086"/>
        <bgColor rgb="FFD9D9D9"/>
      </patternFill>
    </fill>
    <fill>
      <patternFill patternType="solid">
        <fgColor theme="9" tint="0.39988402966399123"/>
        <bgColor rgb="FFC5E0B4"/>
      </patternFill>
    </fill>
    <fill>
      <patternFill patternType="solid">
        <fgColor rgb="FFE7E6E6"/>
        <bgColor rgb="FFE2F0D9"/>
      </patternFill>
    </fill>
    <fill>
      <patternFill patternType="solid">
        <fgColor theme="8" tint="0.59987182226020086"/>
        <bgColor rgb="FFB7C9D6"/>
      </patternFill>
    </fill>
    <fill>
      <patternFill patternType="solid">
        <fgColor theme="0" tint="-0.14999847407452621"/>
        <bgColor rgb="FFD9E2F3"/>
      </patternFill>
    </fill>
    <fill>
      <patternFill patternType="solid">
        <fgColor rgb="FFD9EAF7"/>
        <bgColor rgb="FFD9E2F3"/>
      </patternFill>
    </fill>
    <fill>
      <patternFill patternType="solid">
        <fgColor rgb="FFF7FBFE"/>
        <bgColor rgb="FFF5F8FA"/>
      </patternFill>
    </fill>
    <fill>
      <patternFill patternType="solid">
        <fgColor rgb="FFFFFFFF"/>
        <bgColor rgb="FFF7FBFE"/>
      </patternFill>
    </fill>
    <fill>
      <patternFill patternType="solid">
        <fgColor theme="0" tint="-4.9989318521683403E-2"/>
        <bgColor rgb="FFEAF2F8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dashed">
        <color auto="1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8" fillId="0" borderId="0" xfId="0" applyFont="1" applyAlignment="1">
      <alignment horizontal="center"/>
    </xf>
    <xf numFmtId="0" fontId="7" fillId="5" borderId="0" xfId="0" applyFont="1" applyFill="1" applyAlignment="1">
      <alignment horizontal="center" vertical="center" textRotation="90"/>
    </xf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/>
    </xf>
    <xf numFmtId="0" fontId="3" fillId="3" borderId="0" xfId="0" applyFont="1" applyFill="1"/>
    <xf numFmtId="164" fontId="0" fillId="3" borderId="0" xfId="0" applyNumberFormat="1" applyFill="1"/>
    <xf numFmtId="0" fontId="3" fillId="0" borderId="0" xfId="0" applyFont="1"/>
    <xf numFmtId="4" fontId="0" fillId="0" borderId="0" xfId="0" applyNumberFormat="1"/>
    <xf numFmtId="4" fontId="0" fillId="3" borderId="0" xfId="0" applyNumberFormat="1" applyFill="1"/>
    <xf numFmtId="165" fontId="0" fillId="0" borderId="0" xfId="0" applyNumberFormat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166" fontId="0" fillId="3" borderId="0" xfId="0" applyNumberFormat="1" applyFill="1"/>
    <xf numFmtId="166" fontId="0" fillId="0" borderId="0" xfId="0" applyNumberFormat="1"/>
    <xf numFmtId="10" fontId="0" fillId="3" borderId="0" xfId="0" applyNumberFormat="1" applyFill="1"/>
    <xf numFmtId="10" fontId="0" fillId="0" borderId="0" xfId="0" applyNumberFormat="1"/>
    <xf numFmtId="167" fontId="0" fillId="3" borderId="0" xfId="0" applyNumberFormat="1" applyFill="1"/>
    <xf numFmtId="0" fontId="4" fillId="4" borderId="0" xfId="0" applyFont="1" applyFill="1"/>
    <xf numFmtId="0" fontId="0" fillId="0" borderId="0" xfId="0" applyAlignment="1">
      <alignment vertical="top" wrapText="1"/>
    </xf>
    <xf numFmtId="0" fontId="5" fillId="0" borderId="0" xfId="0" applyFont="1"/>
    <xf numFmtId="0" fontId="7" fillId="5" borderId="0" xfId="0" applyFont="1" applyFill="1"/>
    <xf numFmtId="0" fontId="8" fillId="6" borderId="1" xfId="0" applyFont="1" applyFill="1" applyBorder="1"/>
    <xf numFmtId="168" fontId="8" fillId="6" borderId="1" xfId="0" applyNumberFormat="1" applyFont="1" applyFill="1" applyBorder="1"/>
    <xf numFmtId="169" fontId="8" fillId="6" borderId="1" xfId="0" applyNumberFormat="1" applyFont="1" applyFill="1" applyBorder="1"/>
    <xf numFmtId="0" fontId="8" fillId="0" borderId="0" xfId="0" applyFont="1"/>
    <xf numFmtId="170" fontId="8" fillId="0" borderId="0" xfId="0" applyNumberFormat="1" applyFont="1"/>
    <xf numFmtId="0" fontId="8" fillId="0" borderId="1" xfId="0" applyFont="1" applyBorder="1"/>
    <xf numFmtId="170" fontId="8" fillId="0" borderId="1" xfId="0" applyNumberFormat="1" applyFont="1" applyBorder="1"/>
    <xf numFmtId="0" fontId="9" fillId="0" borderId="0" xfId="0" applyFont="1"/>
    <xf numFmtId="170" fontId="9" fillId="0" borderId="0" xfId="0" applyNumberFormat="1" applyFont="1"/>
    <xf numFmtId="170" fontId="0" fillId="0" borderId="0" xfId="0" applyNumberFormat="1"/>
    <xf numFmtId="0" fontId="8" fillId="0" borderId="0" xfId="0" applyFont="1" applyAlignment="1">
      <alignment horizontal="left"/>
    </xf>
    <xf numFmtId="0" fontId="10" fillId="7" borderId="2" xfId="0" applyFont="1" applyFill="1" applyBorder="1"/>
    <xf numFmtId="170" fontId="10" fillId="7" borderId="2" xfId="0" applyNumberFormat="1" applyFont="1" applyFill="1" applyBorder="1"/>
    <xf numFmtId="0" fontId="7" fillId="8" borderId="0" xfId="0" applyFont="1" applyFill="1"/>
    <xf numFmtId="0" fontId="8" fillId="9" borderId="0" xfId="0" applyFont="1" applyFill="1"/>
    <xf numFmtId="171" fontId="8" fillId="9" borderId="0" xfId="0" applyNumberFormat="1" applyFont="1" applyFill="1"/>
    <xf numFmtId="0" fontId="8" fillId="10" borderId="1" xfId="0" applyFont="1" applyFill="1" applyBorder="1"/>
    <xf numFmtId="168" fontId="0" fillId="10" borderId="0" xfId="0" applyNumberFormat="1" applyFill="1"/>
    <xf numFmtId="169" fontId="0" fillId="10" borderId="0" xfId="0" applyNumberFormat="1" applyFill="1"/>
    <xf numFmtId="3" fontId="8" fillId="0" borderId="0" xfId="0" applyNumberFormat="1" applyFont="1"/>
    <xf numFmtId="0" fontId="9" fillId="0" borderId="2" xfId="0" applyFont="1" applyBorder="1"/>
    <xf numFmtId="3" fontId="9" fillId="0" borderId="2" xfId="0" applyNumberFormat="1" applyFont="1" applyBorder="1"/>
    <xf numFmtId="171" fontId="8" fillId="0" borderId="0" xfId="0" applyNumberFormat="1" applyFont="1"/>
    <xf numFmtId="15" fontId="0" fillId="0" borderId="0" xfId="0" applyNumberFormat="1"/>
    <xf numFmtId="4" fontId="8" fillId="0" borderId="0" xfId="0" applyNumberFormat="1" applyFont="1"/>
    <xf numFmtId="4" fontId="9" fillId="0" borderId="2" xfId="0" applyNumberFormat="1" applyFont="1" applyBorder="1"/>
    <xf numFmtId="4" fontId="7" fillId="5" borderId="0" xfId="0" applyNumberFormat="1" applyFont="1" applyFill="1"/>
    <xf numFmtId="0" fontId="8" fillId="11" borderId="0" xfId="0" applyFont="1" applyFill="1"/>
    <xf numFmtId="4" fontId="8" fillId="11" borderId="0" xfId="0" applyNumberFormat="1" applyFont="1" applyFill="1"/>
    <xf numFmtId="2" fontId="8" fillId="11" borderId="0" xfId="0" applyNumberFormat="1" applyFont="1" applyFill="1" applyAlignment="1">
      <alignment vertical="top"/>
    </xf>
    <xf numFmtId="10" fontId="8" fillId="11" borderId="0" xfId="0" applyNumberFormat="1" applyFont="1" applyFill="1"/>
    <xf numFmtId="0" fontId="6" fillId="5" borderId="0" xfId="0" applyFont="1" applyFill="1"/>
    <xf numFmtId="0" fontId="11" fillId="5" borderId="0" xfId="0" applyFont="1" applyFill="1"/>
    <xf numFmtId="0" fontId="6" fillId="0" borderId="0" xfId="0" applyFont="1"/>
    <xf numFmtId="166" fontId="8" fillId="0" borderId="0" xfId="0" applyNumberFormat="1" applyFont="1"/>
    <xf numFmtId="10" fontId="8" fillId="0" borderId="0" xfId="0" applyNumberFormat="1" applyFont="1"/>
    <xf numFmtId="4" fontId="6" fillId="12" borderId="3" xfId="0" applyNumberFormat="1" applyFont="1" applyFill="1" applyBorder="1" applyAlignment="1">
      <alignment horizontal="center" vertical="center"/>
    </xf>
    <xf numFmtId="171" fontId="6" fillId="12" borderId="3" xfId="0" applyNumberFormat="1" applyFont="1" applyFill="1" applyBorder="1" applyAlignment="1">
      <alignment horizontal="center" vertical="center"/>
    </xf>
    <xf numFmtId="10" fontId="6" fillId="12" borderId="3" xfId="0" applyNumberFormat="1" applyFont="1" applyFill="1" applyBorder="1" applyAlignment="1">
      <alignment horizontal="center" vertical="center"/>
    </xf>
    <xf numFmtId="4" fontId="8" fillId="13" borderId="3" xfId="0" applyNumberFormat="1" applyFont="1" applyFill="1" applyBorder="1" applyAlignment="1">
      <alignment horizontal="center" vertical="center"/>
    </xf>
    <xf numFmtId="4" fontId="7" fillId="13" borderId="3" xfId="0" applyNumberFormat="1" applyFont="1" applyFill="1" applyBorder="1" applyAlignment="1">
      <alignment horizontal="center" vertical="center"/>
    </xf>
    <xf numFmtId="0" fontId="8" fillId="0" borderId="2" xfId="0" applyFont="1" applyBorder="1"/>
    <xf numFmtId="166" fontId="8" fillId="0" borderId="2" xfId="0" applyNumberFormat="1" applyFont="1" applyBorder="1"/>
    <xf numFmtId="2" fontId="12" fillId="0" borderId="0" xfId="0" applyNumberFormat="1" applyFont="1"/>
    <xf numFmtId="0" fontId="10" fillId="5" borderId="2" xfId="0" applyFont="1" applyFill="1" applyBorder="1"/>
    <xf numFmtId="4" fontId="10" fillId="5" borderId="2" xfId="0" applyNumberFormat="1" applyFont="1" applyFill="1" applyBorder="1"/>
    <xf numFmtId="4" fontId="13" fillId="0" borderId="4" xfId="0" applyNumberFormat="1" applyFont="1" applyBorder="1" applyAlignment="1">
      <alignment vertical="center" wrapText="1"/>
    </xf>
    <xf numFmtId="9" fontId="0" fillId="0" borderId="0" xfId="0" applyNumberFormat="1"/>
    <xf numFmtId="10" fontId="7" fillId="5" borderId="0" xfId="0" applyNumberFormat="1" applyFont="1" applyFill="1"/>
    <xf numFmtId="172" fontId="0" fillId="0" borderId="0" xfId="0" applyNumberFormat="1"/>
    <xf numFmtId="0" fontId="4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173" fontId="0" fillId="3" borderId="0" xfId="0" applyNumberFormat="1" applyFill="1" applyAlignment="1">
      <alignment vertical="top" wrapText="1"/>
    </xf>
    <xf numFmtId="173" fontId="0" fillId="0" borderId="0" xfId="0" applyNumberFormat="1" applyAlignment="1">
      <alignment vertical="top" wrapText="1"/>
    </xf>
    <xf numFmtId="0" fontId="14" fillId="8" borderId="0" xfId="0" applyFont="1" applyFill="1"/>
    <xf numFmtId="0" fontId="0" fillId="8" borderId="0" xfId="0" applyFill="1"/>
    <xf numFmtId="0" fontId="0" fillId="0" borderId="1" xfId="0" applyBorder="1"/>
    <xf numFmtId="0" fontId="15" fillId="8" borderId="0" xfId="0" applyFont="1" applyFill="1"/>
    <xf numFmtId="15" fontId="16" fillId="8" borderId="0" xfId="0" applyNumberFormat="1" applyFont="1" applyFill="1" applyAlignment="1">
      <alignment horizontal="left" vertical="center" wrapText="1" indent="1"/>
    </xf>
    <xf numFmtId="15" fontId="16" fillId="8" borderId="0" xfId="0" applyNumberFormat="1" applyFont="1" applyFill="1"/>
    <xf numFmtId="0" fontId="17" fillId="0" borderId="0" xfId="0" applyFont="1"/>
    <xf numFmtId="4" fontId="17" fillId="0" borderId="0" xfId="0" applyNumberFormat="1" applyFont="1"/>
    <xf numFmtId="0" fontId="16" fillId="14" borderId="0" xfId="0" applyFont="1" applyFill="1" applyAlignment="1">
      <alignment horizontal="left" vertical="center" wrapText="1" indent="1"/>
    </xf>
    <xf numFmtId="3" fontId="17" fillId="0" borderId="0" xfId="0" applyNumberFormat="1" applyFont="1"/>
    <xf numFmtId="0" fontId="17" fillId="8" borderId="0" xfId="0" applyFont="1" applyFill="1"/>
    <xf numFmtId="4" fontId="17" fillId="8" borderId="0" xfId="0" applyNumberFormat="1" applyFont="1" applyFill="1"/>
    <xf numFmtId="0" fontId="17" fillId="15" borderId="1" xfId="0" applyFont="1" applyFill="1" applyBorder="1"/>
    <xf numFmtId="4" fontId="17" fillId="15" borderId="1" xfId="0" applyNumberFormat="1" applyFont="1" applyFill="1" applyBorder="1"/>
    <xf numFmtId="3" fontId="17" fillId="15" borderId="1" xfId="0" applyNumberFormat="1" applyFont="1" applyFill="1" applyBorder="1"/>
    <xf numFmtId="0" fontId="16" fillId="0" borderId="0" xfId="0" applyFont="1"/>
    <xf numFmtId="0" fontId="17" fillId="15" borderId="5" xfId="0" applyFont="1" applyFill="1" applyBorder="1"/>
    <xf numFmtId="4" fontId="17" fillId="15" borderId="5" xfId="0" applyNumberFormat="1" applyFont="1" applyFill="1" applyBorder="1"/>
    <xf numFmtId="0" fontId="17" fillId="0" borderId="1" xfId="0" applyFont="1" applyBorder="1"/>
    <xf numFmtId="4" fontId="17" fillId="0" borderId="1" xfId="0" applyNumberFormat="1" applyFont="1" applyBorder="1"/>
    <xf numFmtId="3" fontId="17" fillId="0" borderId="1" xfId="0" applyNumberFormat="1" applyFont="1" applyBorder="1"/>
    <xf numFmtId="0" fontId="18" fillId="14" borderId="0" xfId="0" applyFont="1" applyFill="1" applyAlignment="1">
      <alignment horizontal="left" vertical="center" wrapText="1" indent="1"/>
    </xf>
    <xf numFmtId="0" fontId="17" fillId="15" borderId="0" xfId="0" applyFont="1" applyFill="1"/>
    <xf numFmtId="4" fontId="17" fillId="15" borderId="0" xfId="0" applyNumberFormat="1" applyFont="1" applyFill="1"/>
    <xf numFmtId="3" fontId="17" fillId="15" borderId="0" xfId="0" applyNumberFormat="1" applyFont="1" applyFill="1"/>
    <xf numFmtId="0" fontId="17" fillId="5" borderId="0" xfId="0" applyFont="1" applyFill="1"/>
    <xf numFmtId="15" fontId="16" fillId="14" borderId="0" xfId="0" applyNumberFormat="1" applyFont="1" applyFill="1" applyAlignment="1">
      <alignment horizontal="left" vertical="center" wrapText="1" indent="1"/>
    </xf>
    <xf numFmtId="4" fontId="16" fillId="14" borderId="0" xfId="0" applyNumberFormat="1" applyFont="1" applyFill="1" applyAlignment="1">
      <alignment horizontal="left" vertical="center" wrapText="1" indent="1"/>
    </xf>
    <xf numFmtId="2" fontId="16" fillId="14" borderId="0" xfId="0" applyNumberFormat="1" applyFont="1" applyFill="1" applyAlignment="1">
      <alignment horizontal="left" vertical="center" wrapText="1" indent="1"/>
    </xf>
    <xf numFmtId="39" fontId="16" fillId="14" borderId="0" xfId="0" applyNumberFormat="1" applyFont="1" applyFill="1" applyAlignment="1">
      <alignment horizontal="left" vertical="center" wrapText="1" indent="1"/>
    </xf>
    <xf numFmtId="0" fontId="16" fillId="15" borderId="0" xfId="0" applyFont="1" applyFill="1" applyAlignment="1">
      <alignment horizontal="left" vertical="center" wrapText="1" indent="1"/>
    </xf>
    <xf numFmtId="4" fontId="16" fillId="15" borderId="0" xfId="0" applyNumberFormat="1" applyFont="1" applyFill="1" applyAlignment="1">
      <alignment horizontal="left" vertical="center" wrapText="1" indent="1"/>
    </xf>
    <xf numFmtId="39" fontId="16" fillId="15" borderId="0" xfId="0" applyNumberFormat="1" applyFont="1" applyFill="1" applyAlignment="1">
      <alignment horizontal="left" vertical="center" wrapText="1" indent="1"/>
    </xf>
    <xf numFmtId="0" fontId="16" fillId="8" borderId="0" xfId="0" applyFont="1" applyFill="1" applyAlignment="1">
      <alignment horizontal="left" vertical="center" wrapText="1" indent="1"/>
    </xf>
    <xf numFmtId="4" fontId="16" fillId="8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7E6E6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4C7C5"/>
      <rgbColor rgb="FF808080"/>
      <rgbColor rgb="FFC5E0B4"/>
      <rgbColor rgb="FF993366"/>
      <rgbColor rgb="FFFFF2CC"/>
      <rgbColor rgb="FFD9EAF7"/>
      <rgbColor rgb="FF660066"/>
      <rgbColor rgb="FFF4F8FB"/>
      <rgbColor rgb="FF0563C1"/>
      <rgbColor rgb="FFBDD7EE"/>
      <rgbColor rgb="FF000080"/>
      <rgbColor rgb="FFFF00FF"/>
      <rgbColor rgb="FFF5F8FA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2F2F2"/>
      <rgbColor rgb="FFB7C9D6"/>
      <rgbColor rgb="FFD9E2F3"/>
      <rgbColor rgb="FFD9D9D9"/>
      <rgbColor rgb="FFF8CBAD"/>
      <rgbColor rgb="FF3366FF"/>
      <rgbColor rgb="FF33CCCC"/>
      <rgbColor rgb="FFF7FBFE"/>
      <rgbColor rgb="FFFFC000"/>
      <rgbColor rgb="FFFF9900"/>
      <rgbColor rgb="FFFF6600"/>
      <rgbColor rgb="FF666699"/>
      <rgbColor rgb="FFA9D18E"/>
      <rgbColor rgb="FF17365D"/>
      <rgbColor rgb="FF339966"/>
      <rgbColor rgb="FF0F1115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dse.com.bd/company/MARICO" TargetMode="External"/><Relationship Id="rId1" Type="http://schemas.openxmlformats.org/officeDocument/2006/relationships/hyperlink" Target="https://marico.com/bangladesh/investors/annual-report" TargetMode="Externa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marico.com/bangladesh/investors/annual-report" TargetMode="External"/><Relationship Id="rId2" Type="http://schemas.openxmlformats.org/officeDocument/2006/relationships/hyperlink" Target="https://marico.com/bangladesh/investors/annual-report" TargetMode="External"/><Relationship Id="rId1" Type="http://schemas.openxmlformats.org/officeDocument/2006/relationships/hyperlink" Target="https://marico.com/bangladesh/investors/annual-report" TargetMode="External"/><Relationship Id="rId6" Type="http://schemas.openxmlformats.org/officeDocument/2006/relationships/hyperlink" Target="https://stockanalysis.com/quote/dse/MARICO/history/" TargetMode="External"/><Relationship Id="rId5" Type="http://schemas.openxmlformats.org/officeDocument/2006/relationships/hyperlink" Target="https://www.dse.com.bd/company/MARICO" TargetMode="External"/><Relationship Id="rId4" Type="http://schemas.openxmlformats.org/officeDocument/2006/relationships/hyperlink" Target="https://www.dse.com.bd/company/MAR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tabSelected="1" zoomScaleNormal="100" workbookViewId="0">
      <pane ySplit="2" topLeftCell="A3" activePane="bottomLeft" state="frozen"/>
      <selection pane="bottomLeft" sqref="A1:D1"/>
    </sheetView>
  </sheetViews>
  <sheetFormatPr defaultColWidth="8.6328125" defaultRowHeight="15" customHeight="1"/>
  <cols>
    <col min="1" max="1" width="44" customWidth="1"/>
    <col min="2" max="2" width="25" customWidth="1"/>
    <col min="3" max="4" width="20" customWidth="1"/>
  </cols>
  <sheetData>
    <row r="1" spans="1:4" ht="31.5" customHeight="1">
      <c r="A1" s="6" t="s">
        <v>0</v>
      </c>
      <c r="B1" s="6"/>
      <c r="C1" s="6"/>
      <c r="D1" s="6"/>
    </row>
    <row r="3" spans="1:4" ht="15" customHeight="1">
      <c r="A3" s="7" t="s">
        <v>1</v>
      </c>
      <c r="B3" s="8">
        <v>46318</v>
      </c>
    </row>
    <row r="4" spans="1:4" ht="15" customHeight="1">
      <c r="A4" s="9" t="s">
        <v>2</v>
      </c>
      <c r="B4" s="10">
        <f>WACC!D5</f>
        <v>2668.9</v>
      </c>
    </row>
    <row r="5" spans="1:4" ht="15" customHeight="1">
      <c r="A5" s="7" t="s">
        <v>3</v>
      </c>
      <c r="B5" s="11">
        <f>DCF!C21</f>
        <v>3032.6477323973068</v>
      </c>
    </row>
    <row r="6" spans="1:4" ht="15" customHeight="1">
      <c r="A6" s="9" t="s">
        <v>4</v>
      </c>
      <c r="B6" s="12">
        <f>B5/B4-1</f>
        <v>0.13629125572232259</v>
      </c>
    </row>
    <row r="7" spans="1:4" ht="15" customHeight="1">
      <c r="A7" s="7"/>
      <c r="B7" s="13"/>
    </row>
    <row r="8" spans="1:4" ht="15" customHeight="1">
      <c r="A8" s="14" t="s">
        <v>5</v>
      </c>
      <c r="B8" s="15"/>
    </row>
    <row r="9" spans="1:4" ht="15" customHeight="1">
      <c r="A9" s="7" t="s">
        <v>6</v>
      </c>
      <c r="B9" s="16">
        <f>DCF!C10</f>
        <v>32836.080575992703</v>
      </c>
    </row>
    <row r="10" spans="1:4" ht="15" customHeight="1">
      <c r="A10" s="9" t="s">
        <v>7</v>
      </c>
      <c r="B10" s="17">
        <f>DCF!C14</f>
        <v>60153.48299452247</v>
      </c>
    </row>
    <row r="11" spans="1:4" ht="15" customHeight="1">
      <c r="A11" s="7" t="s">
        <v>8</v>
      </c>
      <c r="B11" s="16">
        <f>DCF!C15</f>
        <v>92989.563570515165</v>
      </c>
    </row>
    <row r="12" spans="1:4" ht="15" customHeight="1">
      <c r="A12" s="9" t="s">
        <v>9</v>
      </c>
      <c r="B12" s="17">
        <f>DCF!C16</f>
        <v>2538.84</v>
      </c>
    </row>
    <row r="13" spans="1:4" ht="15" customHeight="1">
      <c r="A13" s="7" t="s">
        <v>10</v>
      </c>
      <c r="B13" s="16">
        <f>DCF!C17</f>
        <v>0</v>
      </c>
    </row>
    <row r="14" spans="1:4" ht="15" customHeight="1">
      <c r="A14" s="9" t="s">
        <v>11</v>
      </c>
      <c r="B14" s="17">
        <f>DCF!C18</f>
        <v>0</v>
      </c>
    </row>
    <row r="15" spans="1:4" ht="15" customHeight="1">
      <c r="A15" s="7" t="s">
        <v>12</v>
      </c>
      <c r="B15" s="16">
        <f>DCF!C19</f>
        <v>95528.403570515162</v>
      </c>
    </row>
    <row r="16" spans="1:4" ht="15" customHeight="1">
      <c r="A16" s="9" t="s">
        <v>13</v>
      </c>
      <c r="B16" s="17">
        <f>DCF!C20</f>
        <v>31.5</v>
      </c>
    </row>
    <row r="17" spans="1:4" ht="15" customHeight="1">
      <c r="A17" s="7"/>
      <c r="B17" s="13"/>
    </row>
    <row r="18" spans="1:4" ht="15" customHeight="1">
      <c r="A18" s="14" t="s">
        <v>14</v>
      </c>
      <c r="B18" s="15"/>
    </row>
    <row r="19" spans="1:4" ht="15" customHeight="1">
      <c r="A19" s="7" t="s">
        <v>15</v>
      </c>
      <c r="B19" s="18">
        <f>DCF!C12</f>
        <v>0.12740000000000001</v>
      </c>
    </row>
    <row r="20" spans="1:4" ht="15" customHeight="1">
      <c r="A20" s="9" t="s">
        <v>16</v>
      </c>
      <c r="B20" s="19">
        <f>DCF!C11</f>
        <v>3.5000000000000003E-2</v>
      </c>
    </row>
    <row r="21" spans="1:4" ht="15" customHeight="1">
      <c r="A21" s="7" t="s">
        <v>17</v>
      </c>
      <c r="B21" s="18">
        <f>WACC!D24</f>
        <v>8.5400000000000004E-2</v>
      </c>
    </row>
    <row r="22" spans="1:4" ht="15" customHeight="1">
      <c r="A22" s="9" t="s">
        <v>18</v>
      </c>
      <c r="B22" s="19">
        <f>WACC!D23</f>
        <v>7.0000000000000007E-2</v>
      </c>
    </row>
    <row r="23" spans="1:4" ht="15" customHeight="1">
      <c r="A23" s="7" t="s">
        <v>19</v>
      </c>
      <c r="B23" s="20">
        <f>WACC!D17</f>
        <v>0.6</v>
      </c>
    </row>
    <row r="24" spans="1:4" ht="15" customHeight="1">
      <c r="A24" s="9" t="s">
        <v>20</v>
      </c>
      <c r="B24" s="19">
        <f>WACC!D20</f>
        <v>0.115</v>
      </c>
    </row>
    <row r="25" spans="1:4" ht="15" customHeight="1">
      <c r="A25" s="7" t="s">
        <v>21</v>
      </c>
      <c r="B25" s="18">
        <f>WACC!D21</f>
        <v>0.22500000000000001</v>
      </c>
    </row>
    <row r="26" spans="1:4" ht="15" customHeight="1">
      <c r="A26" s="9" t="s">
        <v>22</v>
      </c>
      <c r="B26" t="s">
        <v>23</v>
      </c>
    </row>
    <row r="27" spans="1:4" ht="15" customHeight="1">
      <c r="A27" s="7"/>
      <c r="B27" s="13"/>
    </row>
    <row r="29" spans="1:4" ht="15" customHeight="1">
      <c r="A29" s="21" t="s">
        <v>24</v>
      </c>
      <c r="B29" s="15"/>
    </row>
    <row r="30" spans="1:4" ht="30" customHeight="1">
      <c r="A30" s="5" t="s">
        <v>25</v>
      </c>
      <c r="B30" s="5"/>
      <c r="C30" s="5"/>
      <c r="D30" s="5"/>
    </row>
    <row r="31" spans="1:4" ht="30" customHeight="1">
      <c r="A31" s="5" t="s">
        <v>26</v>
      </c>
      <c r="B31" s="5"/>
      <c r="C31" s="5"/>
      <c r="D31" s="5"/>
    </row>
    <row r="32" spans="1:4" ht="30" customHeight="1">
      <c r="A32" s="5" t="s">
        <v>27</v>
      </c>
      <c r="B32" s="5"/>
      <c r="C32" s="5"/>
      <c r="D32" s="5"/>
    </row>
    <row r="33" spans="1:4" ht="30" customHeight="1">
      <c r="A33" s="5" t="s">
        <v>28</v>
      </c>
      <c r="B33" s="5"/>
      <c r="C33" s="5"/>
      <c r="D33" s="5"/>
    </row>
    <row r="34" spans="1:4" ht="30" customHeight="1">
      <c r="A34" s="5" t="s">
        <v>29</v>
      </c>
      <c r="B34" s="5"/>
      <c r="C34" s="5"/>
      <c r="D34" s="5"/>
    </row>
    <row r="35" spans="1:4" ht="30" customHeight="1">
      <c r="A35" s="5" t="s">
        <v>30</v>
      </c>
      <c r="B35" s="5"/>
      <c r="C35" s="5"/>
      <c r="D35" s="5"/>
    </row>
    <row r="37" spans="1:4" ht="15" customHeight="1">
      <c r="A37" s="21" t="s">
        <v>31</v>
      </c>
      <c r="B37" s="15"/>
    </row>
    <row r="38" spans="1:4" ht="15" customHeight="1">
      <c r="A38" t="s">
        <v>32</v>
      </c>
      <c r="B38" s="23" t="s">
        <v>33</v>
      </c>
    </row>
    <row r="39" spans="1:4" ht="15" customHeight="1">
      <c r="A39" t="s">
        <v>34</v>
      </c>
      <c r="B39" s="23" t="s">
        <v>35</v>
      </c>
    </row>
  </sheetData>
  <mergeCells count="7">
    <mergeCell ref="A34:D34"/>
    <mergeCell ref="A35:D35"/>
    <mergeCell ref="A1:D1"/>
    <mergeCell ref="A30:D30"/>
    <mergeCell ref="A31:D31"/>
    <mergeCell ref="A32:D32"/>
    <mergeCell ref="A33:D33"/>
  </mergeCells>
  <hyperlinks>
    <hyperlink ref="B38" r:id="rId1" xr:uid="{00000000-0004-0000-0000-000000000000}"/>
    <hyperlink ref="B39" r:id="rId2" xr:uid="{00000000-0004-0000-0000-000001000000}"/>
  </hyperlinks>
  <pageMargins left="0.75" right="0.75" top="1" bottom="1" header="0.511811023622047" footer="0.511811023622047"/>
  <pageSetup paperSize="9" orientation="portrait" horizontalDpi="300" verticalDpi="30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00"/>
  <sheetViews>
    <sheetView showGridLines="0" zoomScaleNormal="100" workbookViewId="0">
      <selection activeCell="L14" sqref="L14"/>
    </sheetView>
  </sheetViews>
  <sheetFormatPr defaultColWidth="14.453125" defaultRowHeight="15" customHeight="1"/>
  <cols>
    <col min="1" max="1" width="1.81640625" customWidth="1"/>
    <col min="2" max="2" width="45.453125" customWidth="1"/>
    <col min="3" max="10" width="10.453125" customWidth="1"/>
    <col min="11" max="26" width="8.81640625" customWidth="1"/>
  </cols>
  <sheetData>
    <row r="1" spans="2:14" ht="14.25" customHeight="1"/>
    <row r="2" spans="2:14" ht="14.25" customHeight="1">
      <c r="B2" s="24" t="s">
        <v>36</v>
      </c>
      <c r="C2" s="24"/>
      <c r="D2" s="24"/>
      <c r="E2" s="24"/>
      <c r="F2" s="24"/>
      <c r="G2" s="24"/>
      <c r="H2" s="24"/>
      <c r="I2" s="24"/>
      <c r="J2" s="24"/>
    </row>
    <row r="3" spans="2:14" ht="14.25" customHeight="1">
      <c r="B3" s="25" t="s">
        <v>37</v>
      </c>
      <c r="C3" s="26">
        <v>45382</v>
      </c>
      <c r="D3" s="26">
        <v>45747</v>
      </c>
      <c r="E3" s="26">
        <v>46112</v>
      </c>
      <c r="F3" s="27">
        <v>46477</v>
      </c>
      <c r="G3" s="27">
        <v>46843</v>
      </c>
      <c r="H3" s="27">
        <v>47208</v>
      </c>
      <c r="I3" s="27">
        <v>47573</v>
      </c>
      <c r="J3" s="27">
        <v>47938</v>
      </c>
    </row>
    <row r="4" spans="2:14" ht="14.25" customHeight="1">
      <c r="B4" s="28" t="s">
        <v>38</v>
      </c>
      <c r="C4" s="29">
        <f>'Income Statement'!C5</f>
        <v>14524</v>
      </c>
      <c r="D4" s="29">
        <f>'Income Statement'!D5</f>
        <v>16309</v>
      </c>
      <c r="E4" s="29">
        <f>'Income Statement'!E5</f>
        <v>20712</v>
      </c>
      <c r="F4" s="29">
        <f>E4*(1+F25)</f>
        <v>22783.200000000001</v>
      </c>
      <c r="G4" s="29">
        <f>F4*(1+G25)</f>
        <v>25061.520000000004</v>
      </c>
      <c r="H4" s="29">
        <f>G4*(1+H25)</f>
        <v>27317.056800000006</v>
      </c>
      <c r="I4" s="29">
        <f>H4*(1+I25)</f>
        <v>29229.250776000008</v>
      </c>
      <c r="J4" s="29">
        <f>I4*(1+J25)</f>
        <v>30690.71331480001</v>
      </c>
    </row>
    <row r="5" spans="2:14" ht="14.25" customHeight="1">
      <c r="B5" s="30" t="s">
        <v>39</v>
      </c>
      <c r="C5" s="31">
        <f>'Income Statement'!C7</f>
        <v>6099</v>
      </c>
      <c r="D5" s="31">
        <f>'Income Statement'!D7</f>
        <v>6598</v>
      </c>
      <c r="E5" s="31">
        <f>'Income Statement'!E7</f>
        <v>10477</v>
      </c>
      <c r="F5" s="31">
        <f>F4*F27</f>
        <v>10103.054830249554</v>
      </c>
      <c r="G5" s="31">
        <f>G4*G27</f>
        <v>11113.36031327451</v>
      </c>
      <c r="H5" s="31">
        <f>H4*H27</f>
        <v>12113.562741469217</v>
      </c>
      <c r="I5" s="31">
        <f>I4*I27</f>
        <v>12961.512133372064</v>
      </c>
      <c r="J5" s="31">
        <f>J4*J27</f>
        <v>13609.587740040666</v>
      </c>
      <c r="K5" s="31"/>
      <c r="L5" s="31"/>
      <c r="M5" s="31"/>
      <c r="N5" s="31"/>
    </row>
    <row r="6" spans="2:14" ht="14.25" customHeight="1">
      <c r="B6" s="32" t="s">
        <v>40</v>
      </c>
      <c r="C6" s="33">
        <f t="shared" ref="C6:J6" si="0">C4-C5</f>
        <v>8425</v>
      </c>
      <c r="D6" s="33">
        <f t="shared" si="0"/>
        <v>9711</v>
      </c>
      <c r="E6" s="33">
        <f t="shared" si="0"/>
        <v>10235</v>
      </c>
      <c r="F6" s="33">
        <f t="shared" si="0"/>
        <v>12680.145169750447</v>
      </c>
      <c r="G6" s="33">
        <f t="shared" si="0"/>
        <v>13948.159686725494</v>
      </c>
      <c r="H6" s="33">
        <f t="shared" si="0"/>
        <v>15203.494058530789</v>
      </c>
      <c r="I6" s="33">
        <f t="shared" si="0"/>
        <v>16267.738642627945</v>
      </c>
      <c r="J6" s="33">
        <f t="shared" si="0"/>
        <v>17081.125574759346</v>
      </c>
    </row>
    <row r="7" spans="2:14" ht="14.25" customHeight="1">
      <c r="B7" s="28" t="s">
        <v>41</v>
      </c>
      <c r="C7" s="29"/>
      <c r="D7" s="29"/>
      <c r="E7" s="29"/>
      <c r="F7" s="29"/>
      <c r="G7" s="29"/>
      <c r="H7" s="29"/>
      <c r="I7" s="29"/>
      <c r="J7" s="29"/>
    </row>
    <row r="8" spans="2:14" ht="14.25" customHeight="1">
      <c r="B8" s="28" t="s">
        <v>42</v>
      </c>
      <c r="C8" s="29">
        <f>SUM('Income Statement'!C8,'Income Statement'!C10)</f>
        <v>2314</v>
      </c>
      <c r="D8" s="29">
        <f>SUM('Income Statement'!D8,'Income Statement'!D10)</f>
        <v>2667</v>
      </c>
      <c r="E8" s="29">
        <f>SUM('Income Statement'!E8,'Income Statement'!E10)</f>
        <v>2617</v>
      </c>
      <c r="F8" s="29">
        <f>F4*F28</f>
        <v>3411.4326827696482</v>
      </c>
      <c r="G8" s="29">
        <f>G4*G28</f>
        <v>3752.5759510466137</v>
      </c>
      <c r="H8" s="29">
        <f>H4*H28</f>
        <v>4090.3077866408089</v>
      </c>
      <c r="I8" s="29">
        <f>I4*I28</f>
        <v>4376.6293317056661</v>
      </c>
      <c r="J8" s="29">
        <f>J4*J28</f>
        <v>4595.4607982909492</v>
      </c>
    </row>
    <row r="9" spans="2:14" ht="14.25" customHeight="1">
      <c r="B9" s="30" t="s">
        <v>43</v>
      </c>
      <c r="C9" s="31">
        <f>SUM(C8)</f>
        <v>2314</v>
      </c>
      <c r="D9" s="31">
        <f>SUM(D8)</f>
        <v>2667</v>
      </c>
      <c r="E9" s="31">
        <f>SUM(E8)</f>
        <v>2617</v>
      </c>
      <c r="F9" s="31">
        <f>F8</f>
        <v>3411.4326827696482</v>
      </c>
      <c r="G9" s="31">
        <f>G8</f>
        <v>3752.5759510466137</v>
      </c>
      <c r="H9" s="31">
        <f>H8</f>
        <v>4090.3077866408089</v>
      </c>
      <c r="I9" s="31">
        <f>I8</f>
        <v>4376.6293317056661</v>
      </c>
      <c r="J9" s="31">
        <f>J8</f>
        <v>4595.4607982909492</v>
      </c>
    </row>
    <row r="10" spans="2:14" ht="14.25" customHeight="1">
      <c r="B10" s="32" t="s">
        <v>44</v>
      </c>
      <c r="C10" s="33">
        <f t="shared" ref="C10:J10" si="1">C6-C9</f>
        <v>6111</v>
      </c>
      <c r="D10" s="33">
        <f t="shared" si="1"/>
        <v>7044</v>
      </c>
      <c r="E10" s="33">
        <f t="shared" si="1"/>
        <v>7618</v>
      </c>
      <c r="F10" s="33">
        <f t="shared" si="1"/>
        <v>9268.7124869807994</v>
      </c>
      <c r="G10" s="33">
        <f t="shared" si="1"/>
        <v>10195.58373567888</v>
      </c>
      <c r="H10" s="33">
        <f t="shared" si="1"/>
        <v>11113.186271889979</v>
      </c>
      <c r="I10" s="33">
        <f t="shared" si="1"/>
        <v>11891.109310922278</v>
      </c>
      <c r="J10" s="33">
        <f t="shared" si="1"/>
        <v>12485.664776468397</v>
      </c>
    </row>
    <row r="11" spans="2:14" ht="14.25" customHeight="1">
      <c r="B11" s="30" t="s">
        <v>45</v>
      </c>
      <c r="C11" s="31">
        <f>'Income Statement'!C9</f>
        <v>272</v>
      </c>
      <c r="D11" s="31">
        <f>'Income Statement'!D9</f>
        <v>275</v>
      </c>
      <c r="E11" s="31">
        <f>'Income Statement'!E9</f>
        <v>262</v>
      </c>
      <c r="F11" s="31">
        <f>'Fixed Assets'!F5</f>
        <v>268.61097899032279</v>
      </c>
      <c r="G11" s="31">
        <f>'Fixed Assets'!G5</f>
        <v>265.21235671971488</v>
      </c>
      <c r="H11" s="31">
        <f>'Fixed Assets'!H5</f>
        <v>261.85673579395768</v>
      </c>
      <c r="I11" s="31">
        <f>'Fixed Assets'!I5</f>
        <v>258.54357213503619</v>
      </c>
      <c r="J11" s="31">
        <f>'Fixed Assets'!J5</f>
        <v>255.27232854892677</v>
      </c>
    </row>
    <row r="12" spans="2:14" ht="14.25" customHeight="1">
      <c r="B12" s="32" t="s">
        <v>46</v>
      </c>
      <c r="C12" s="33">
        <f t="shared" ref="C12:J12" si="2">C10-C11</f>
        <v>5839</v>
      </c>
      <c r="D12" s="33">
        <f t="shared" si="2"/>
        <v>6769</v>
      </c>
      <c r="E12" s="33">
        <f t="shared" si="2"/>
        <v>7356</v>
      </c>
      <c r="F12" s="33">
        <f t="shared" si="2"/>
        <v>9000.1015079904773</v>
      </c>
      <c r="G12" s="33">
        <f t="shared" si="2"/>
        <v>9930.3713789591657</v>
      </c>
      <c r="H12" s="33">
        <f t="shared" si="2"/>
        <v>10851.329536096022</v>
      </c>
      <c r="I12" s="33">
        <f t="shared" si="2"/>
        <v>11632.565738787242</v>
      </c>
      <c r="J12" s="33">
        <f t="shared" si="2"/>
        <v>12230.39244791947</v>
      </c>
    </row>
    <row r="13" spans="2:14" ht="14.25" customHeight="1">
      <c r="B13" s="30" t="s">
        <v>47</v>
      </c>
      <c r="C13" s="31">
        <f>'Income Statement'!C16</f>
        <v>1250</v>
      </c>
      <c r="D13" s="31">
        <f>'Income Statement'!D16</f>
        <v>1666</v>
      </c>
      <c r="E13" s="31">
        <f>'Income Statement'!E16</f>
        <v>1109</v>
      </c>
      <c r="F13" s="31">
        <f>F12*F29</f>
        <v>2025.0228392978574</v>
      </c>
      <c r="G13" s="31">
        <f>G12*G29</f>
        <v>2234.3335602658121</v>
      </c>
      <c r="H13" s="31">
        <f>H12*H29</f>
        <v>2441.549145621605</v>
      </c>
      <c r="I13" s="31">
        <f>I12*I29</f>
        <v>2617.3272912271295</v>
      </c>
      <c r="J13" s="31">
        <f>J12*J29</f>
        <v>2751.8383007818807</v>
      </c>
    </row>
    <row r="14" spans="2:14" ht="14.25" customHeight="1">
      <c r="B14" s="32" t="s">
        <v>48</v>
      </c>
      <c r="C14" s="33">
        <f t="shared" ref="C14:J14" si="3">C12-C13</f>
        <v>4589</v>
      </c>
      <c r="D14" s="33">
        <f t="shared" si="3"/>
        <v>5103</v>
      </c>
      <c r="E14" s="33">
        <f t="shared" si="3"/>
        <v>6247</v>
      </c>
      <c r="F14" s="33">
        <f t="shared" si="3"/>
        <v>6975.0786686926203</v>
      </c>
      <c r="G14" s="33">
        <f t="shared" si="3"/>
        <v>7696.037818693354</v>
      </c>
      <c r="H14" s="33">
        <f t="shared" si="3"/>
        <v>8409.7803904744178</v>
      </c>
      <c r="I14" s="33">
        <f t="shared" si="3"/>
        <v>9015.238447560112</v>
      </c>
      <c r="J14" s="33">
        <f t="shared" si="3"/>
        <v>9478.5541471375891</v>
      </c>
    </row>
    <row r="15" spans="2:14" ht="14.25" customHeight="1">
      <c r="B15" s="28" t="s">
        <v>49</v>
      </c>
      <c r="C15" s="29">
        <f>C11</f>
        <v>272</v>
      </c>
      <c r="D15" s="29">
        <f>D11</f>
        <v>275</v>
      </c>
      <c r="E15" s="29">
        <f>E11</f>
        <v>262</v>
      </c>
      <c r="F15" s="29">
        <f>'Fixed Assets'!F5</f>
        <v>268.61097899032279</v>
      </c>
      <c r="G15" s="29">
        <f>'Fixed Assets'!G5</f>
        <v>265.21235671971488</v>
      </c>
      <c r="H15" s="29">
        <f>'Fixed Assets'!H5</f>
        <v>261.85673579395768</v>
      </c>
      <c r="I15" s="29">
        <f>'Fixed Assets'!I5</f>
        <v>258.54357213503619</v>
      </c>
      <c r="J15" s="29">
        <f>'Fixed Assets'!J5</f>
        <v>255.27232854892677</v>
      </c>
    </row>
    <row r="16" spans="2:14" ht="14.25" customHeight="1">
      <c r="B16" s="28" t="s">
        <v>50</v>
      </c>
      <c r="C16" s="29">
        <f>'Fixed Assets'!C6</f>
        <v>461.06000000000017</v>
      </c>
      <c r="D16" s="29">
        <f>'Fixed Assets'!D6</f>
        <v>165.61999999999989</v>
      </c>
      <c r="E16" s="29">
        <f>'Fixed Assets'!E6</f>
        <v>262.26</v>
      </c>
      <c r="F16" s="29">
        <f>'Fixed Assets'!F6</f>
        <v>247.71600000000001</v>
      </c>
      <c r="G16" s="29">
        <f>'Fixed Assets'!G6</f>
        <v>244.58175315145161</v>
      </c>
      <c r="H16" s="29">
        <f>'Fixed Assets'!H6</f>
        <v>241.48716261621212</v>
      </c>
      <c r="I16" s="29">
        <f>'Fixed Assets'!I6</f>
        <v>238.43172663955025</v>
      </c>
      <c r="J16" s="29">
        <f>'Fixed Assets'!J6</f>
        <v>235.41494981522737</v>
      </c>
    </row>
    <row r="17" spans="2:11" ht="14.25" customHeight="1">
      <c r="B17" s="28" t="s">
        <v>51</v>
      </c>
      <c r="C17" s="29">
        <f>C18-('Net Working Capital'!C7-'Net Working Capital'!C13)</f>
        <v>456.45000000000073</v>
      </c>
      <c r="D17" s="29">
        <f t="shared" ref="D17:J17" si="4">D18-C18</f>
        <v>1772.0199999999995</v>
      </c>
      <c r="E17" s="29">
        <f t="shared" si="4"/>
        <v>980.43000000000029</v>
      </c>
      <c r="F17" s="29">
        <f t="shared" si="4"/>
        <v>-3194.6128094750729</v>
      </c>
      <c r="G17" s="29">
        <f t="shared" si="4"/>
        <v>-440.51128094751039</v>
      </c>
      <c r="H17" s="29">
        <f t="shared" si="4"/>
        <v>-436.10616813803063</v>
      </c>
      <c r="I17" s="29">
        <f t="shared" si="4"/>
        <v>-369.72111809924536</v>
      </c>
      <c r="J17" s="29">
        <f t="shared" si="4"/>
        <v>-282.57256883299124</v>
      </c>
      <c r="K17" s="34"/>
    </row>
    <row r="18" spans="2:11" ht="14.25" customHeight="1">
      <c r="B18" s="35" t="s">
        <v>52</v>
      </c>
      <c r="C18" s="29">
        <f t="shared" ref="C18:J18" si="5">C19-C20</f>
        <v>-3962.95</v>
      </c>
      <c r="D18" s="29">
        <f t="shared" si="5"/>
        <v>-2190.9300000000003</v>
      </c>
      <c r="E18" s="29">
        <f t="shared" si="5"/>
        <v>-1210.5</v>
      </c>
      <c r="F18" s="29">
        <f t="shared" si="5"/>
        <v>-4405.1128094750729</v>
      </c>
      <c r="G18" s="29">
        <f t="shared" si="5"/>
        <v>-4845.6240904225833</v>
      </c>
      <c r="H18" s="29">
        <f t="shared" si="5"/>
        <v>-5281.7302585606139</v>
      </c>
      <c r="I18" s="29">
        <f t="shared" si="5"/>
        <v>-5651.4513766598593</v>
      </c>
      <c r="J18" s="29">
        <f t="shared" si="5"/>
        <v>-5934.0239454928505</v>
      </c>
    </row>
    <row r="19" spans="2:11" ht="14.25" customHeight="1">
      <c r="B19" s="35" t="s">
        <v>53</v>
      </c>
      <c r="C19" s="29">
        <f>'Net Working Capital'!D7</f>
        <v>4108.18</v>
      </c>
      <c r="D19" s="29">
        <f>'Net Working Capital'!E7</f>
        <v>3912.91</v>
      </c>
      <c r="E19" s="29">
        <f>'Net Working Capital'!F7</f>
        <v>4091.67</v>
      </c>
      <c r="F19" s="29">
        <f>'Net Working Capital'!G7</f>
        <v>5507.8172195719799</v>
      </c>
      <c r="G19" s="29">
        <f>'Net Working Capital'!H7</f>
        <v>6058.598941529177</v>
      </c>
      <c r="H19" s="29">
        <f>'Net Working Capital'!I7</f>
        <v>6603.8728462668041</v>
      </c>
      <c r="I19" s="29">
        <f>'Net Working Capital'!J7</f>
        <v>7066.1439455054806</v>
      </c>
      <c r="J19" s="29">
        <f>'Net Working Capital'!K7</f>
        <v>7419.4511427807556</v>
      </c>
    </row>
    <row r="20" spans="2:11" ht="14.25" customHeight="1">
      <c r="B20" s="35" t="s">
        <v>54</v>
      </c>
      <c r="C20" s="29">
        <f>'Net Working Capital'!D13</f>
        <v>8071.13</v>
      </c>
      <c r="D20" s="29">
        <f>'Net Working Capital'!E13</f>
        <v>6103.84</v>
      </c>
      <c r="E20" s="29">
        <f>'Net Working Capital'!F13</f>
        <v>5302.17</v>
      </c>
      <c r="F20" s="29">
        <f>'Net Working Capital'!G13</f>
        <v>9912.9300290470528</v>
      </c>
      <c r="G20" s="29">
        <f>'Net Working Capital'!H13</f>
        <v>10904.22303195176</v>
      </c>
      <c r="H20" s="29">
        <f>'Net Working Capital'!I13</f>
        <v>11885.603104827418</v>
      </c>
      <c r="I20" s="29">
        <f>'Net Working Capital'!J13</f>
        <v>12717.59532216534</v>
      </c>
      <c r="J20" s="29">
        <f>'Net Working Capital'!K13</f>
        <v>13353.475088273606</v>
      </c>
    </row>
    <row r="21" spans="2:11" ht="14.25" customHeight="1">
      <c r="B21" s="36" t="s">
        <v>55</v>
      </c>
      <c r="C21" s="37">
        <f t="shared" ref="C21:J21" si="6">C14+C15-C16-C17</f>
        <v>3943.4899999999989</v>
      </c>
      <c r="D21" s="37">
        <f t="shared" si="6"/>
        <v>3440.3600000000006</v>
      </c>
      <c r="E21" s="37">
        <f t="shared" si="6"/>
        <v>5266.3099999999995</v>
      </c>
      <c r="F21" s="37">
        <f t="shared" si="6"/>
        <v>10190.586457158017</v>
      </c>
      <c r="G21" s="37">
        <f t="shared" si="6"/>
        <v>8157.1797032091281</v>
      </c>
      <c r="H21" s="37">
        <f t="shared" si="6"/>
        <v>8866.2561317901927</v>
      </c>
      <c r="I21" s="37">
        <f t="shared" si="6"/>
        <v>9405.0714111548441</v>
      </c>
      <c r="J21" s="37">
        <f t="shared" si="6"/>
        <v>9780.9840947042794</v>
      </c>
    </row>
    <row r="22" spans="2:11" ht="14.25" customHeight="1"/>
    <row r="23" spans="2:11" ht="14.25" customHeight="1">
      <c r="B23" s="38" t="s">
        <v>56</v>
      </c>
      <c r="C23" s="38"/>
      <c r="D23" s="38"/>
      <c r="E23" s="38"/>
      <c r="F23" s="38"/>
      <c r="G23" s="38"/>
      <c r="H23" s="38"/>
      <c r="I23" s="38"/>
      <c r="J23" s="38"/>
    </row>
    <row r="24" spans="2:11" ht="14.25" customHeight="1">
      <c r="B24" s="25" t="str">
        <f t="shared" ref="B24:J24" si="7">B3</f>
        <v>Fiscal Year</v>
      </c>
      <c r="C24" s="26">
        <f t="shared" si="7"/>
        <v>45382</v>
      </c>
      <c r="D24" s="26">
        <f t="shared" si="7"/>
        <v>45747</v>
      </c>
      <c r="E24" s="26">
        <f t="shared" si="7"/>
        <v>46112</v>
      </c>
      <c r="F24" s="27">
        <f t="shared" si="7"/>
        <v>46477</v>
      </c>
      <c r="G24" s="27">
        <f t="shared" si="7"/>
        <v>46843</v>
      </c>
      <c r="H24" s="27">
        <f t="shared" si="7"/>
        <v>47208</v>
      </c>
      <c r="I24" s="27">
        <f t="shared" si="7"/>
        <v>47573</v>
      </c>
      <c r="J24" s="27">
        <f t="shared" si="7"/>
        <v>47938</v>
      </c>
    </row>
    <row r="25" spans="2:11" ht="14.25" customHeight="1">
      <c r="B25" s="39" t="s">
        <v>57</v>
      </c>
      <c r="C25" s="39"/>
      <c r="D25" s="40">
        <f>D4/C4-1</f>
        <v>0.12290002754062246</v>
      </c>
      <c r="E25" s="40">
        <f>E4/D4-1</f>
        <v>0.26997363418971121</v>
      </c>
      <c r="F25" s="40">
        <v>0.1</v>
      </c>
      <c r="G25" s="40">
        <v>0.1</v>
      </c>
      <c r="H25" s="40">
        <v>0.09</v>
      </c>
      <c r="I25" s="40">
        <v>7.0000000000000007E-2</v>
      </c>
      <c r="J25" s="40">
        <v>0.05</v>
      </c>
    </row>
    <row r="26" spans="2:11" ht="14.25" customHeight="1">
      <c r="B26" s="39"/>
      <c r="C26" s="39"/>
      <c r="D26" s="39"/>
      <c r="E26" s="39"/>
      <c r="F26" s="39"/>
      <c r="G26" s="39"/>
      <c r="H26" s="39"/>
      <c r="I26" s="39"/>
      <c r="J26" s="39"/>
    </row>
    <row r="27" spans="2:11" ht="14.25" customHeight="1">
      <c r="B27" s="39" t="s">
        <v>58</v>
      </c>
      <c r="C27" s="40">
        <f>C5/C4</f>
        <v>0.41992564031947122</v>
      </c>
      <c r="D27" s="40">
        <f>D5/D4</f>
        <v>0.40456189833834078</v>
      </c>
      <c r="E27" s="40">
        <f>E5/E4</f>
        <v>0.50584202394747002</v>
      </c>
      <c r="F27" s="40">
        <f>AVERAGE(C27:E27)</f>
        <v>0.44344318753509399</v>
      </c>
      <c r="G27" s="40">
        <f t="shared" ref="G27:J28" si="8">F27</f>
        <v>0.44344318753509399</v>
      </c>
      <c r="H27" s="40">
        <f t="shared" si="8"/>
        <v>0.44344318753509399</v>
      </c>
      <c r="I27" s="40">
        <f t="shared" si="8"/>
        <v>0.44344318753509399</v>
      </c>
      <c r="J27" s="40">
        <f t="shared" si="8"/>
        <v>0.44344318753509399</v>
      </c>
    </row>
    <row r="28" spans="2:11" ht="14.25" customHeight="1">
      <c r="B28" s="39" t="s">
        <v>59</v>
      </c>
      <c r="C28" s="40">
        <f>C8/C4</f>
        <v>0.15932250068851556</v>
      </c>
      <c r="D28" s="40">
        <f>D8/D4</f>
        <v>0.16352933962842603</v>
      </c>
      <c r="E28" s="40">
        <f>E8/E4</f>
        <v>0.12635187331015837</v>
      </c>
      <c r="F28" s="40">
        <f>AVERAGE(C28:E28)</f>
        <v>0.14973457120903333</v>
      </c>
      <c r="G28" s="40">
        <f t="shared" si="8"/>
        <v>0.14973457120903333</v>
      </c>
      <c r="H28" s="40">
        <f t="shared" si="8"/>
        <v>0.14973457120903333</v>
      </c>
      <c r="I28" s="40">
        <f t="shared" si="8"/>
        <v>0.14973457120903333</v>
      </c>
      <c r="J28" s="40">
        <f t="shared" si="8"/>
        <v>0.14973457120903333</v>
      </c>
    </row>
    <row r="29" spans="2:11" ht="14.25" customHeight="1">
      <c r="B29" s="39" t="s">
        <v>60</v>
      </c>
      <c r="C29" s="40">
        <f>C13/C12</f>
        <v>0.21407775303990409</v>
      </c>
      <c r="D29" s="40">
        <f>D13/D12</f>
        <v>0.24612202688728024</v>
      </c>
      <c r="E29" s="40">
        <f>E13/E12</f>
        <v>0.15076128330614463</v>
      </c>
      <c r="F29" s="40">
        <v>0.22500000000000001</v>
      </c>
      <c r="G29" s="40">
        <v>0.22500000000000001</v>
      </c>
      <c r="H29" s="40">
        <v>0.22500000000000001</v>
      </c>
      <c r="I29" s="40">
        <v>0.22500000000000001</v>
      </c>
      <c r="J29" s="40">
        <v>0.22500000000000001</v>
      </c>
    </row>
    <row r="30" spans="2:11" ht="14.25" customHeight="1"/>
    <row r="31" spans="2:11" ht="14.25" customHeight="1"/>
    <row r="32" spans="2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00"/>
  <sheetViews>
    <sheetView showGridLines="0" zoomScaleNormal="100" workbookViewId="0">
      <selection activeCell="F13" sqref="F13"/>
    </sheetView>
  </sheetViews>
  <sheetFormatPr defaultColWidth="14.453125" defaultRowHeight="15" customHeight="1"/>
  <cols>
    <col min="1" max="1" width="8.81640625" customWidth="1"/>
    <col min="2" max="2" width="27.81640625" customWidth="1"/>
    <col min="3" max="3" width="17.08984375" customWidth="1"/>
    <col min="4" max="4" width="16.1796875" customWidth="1"/>
    <col min="5" max="5" width="12" customWidth="1"/>
    <col min="6" max="10" width="8.453125" customWidth="1"/>
    <col min="11" max="26" width="8.81640625" customWidth="1"/>
  </cols>
  <sheetData>
    <row r="1" spans="2:10" ht="14.25" customHeight="1"/>
    <row r="2" spans="2:10" ht="14.25" customHeight="1">
      <c r="B2" s="24" t="s">
        <v>61</v>
      </c>
      <c r="C2" s="24"/>
      <c r="D2" s="24"/>
      <c r="E2" s="24"/>
      <c r="F2" s="24"/>
      <c r="G2" s="24"/>
      <c r="H2" s="24"/>
      <c r="I2" s="24"/>
      <c r="J2" s="24"/>
    </row>
    <row r="3" spans="2:10" ht="14.25" customHeight="1">
      <c r="B3" s="41" t="s">
        <v>37</v>
      </c>
      <c r="C3" s="42">
        <v>45382</v>
      </c>
      <c r="D3" s="42">
        <v>45747</v>
      </c>
      <c r="E3" s="42">
        <v>46112</v>
      </c>
      <c r="F3" s="43">
        <v>46477</v>
      </c>
      <c r="G3" s="43">
        <v>46843</v>
      </c>
      <c r="H3" s="43">
        <v>47208</v>
      </c>
      <c r="I3" s="43">
        <v>47573</v>
      </c>
      <c r="J3" s="43">
        <v>47938</v>
      </c>
    </row>
    <row r="4" spans="2:10" ht="14.25" customHeight="1">
      <c r="B4" s="28" t="s">
        <v>62</v>
      </c>
      <c r="C4" s="44">
        <f>SUM('Balance Sheet'!C11:C12)</f>
        <v>1571.5</v>
      </c>
      <c r="D4" s="44">
        <f>SUM('Balance Sheet'!D11:D12)</f>
        <v>1760.5600000000002</v>
      </c>
      <c r="E4" s="44">
        <f>SUM('Balance Sheet'!E11:E12)</f>
        <v>1651.18</v>
      </c>
      <c r="F4" s="44">
        <f>E7</f>
        <v>1651.44</v>
      </c>
      <c r="G4" s="44">
        <f>F7</f>
        <v>1630.5450210096774</v>
      </c>
      <c r="H4" s="44">
        <f>G7</f>
        <v>1609.9144174414141</v>
      </c>
      <c r="I4" s="44">
        <f>H7</f>
        <v>1589.5448442636684</v>
      </c>
      <c r="J4" s="44">
        <f>I7</f>
        <v>1569.4329987681826</v>
      </c>
    </row>
    <row r="5" spans="2:10" ht="14.25" customHeight="1">
      <c r="B5" s="28" t="s">
        <v>63</v>
      </c>
      <c r="C5" s="44">
        <f>'Income Statement'!C9</f>
        <v>272</v>
      </c>
      <c r="D5" s="44">
        <f>'Income Statement'!D9</f>
        <v>275</v>
      </c>
      <c r="E5" s="44">
        <f>'Income Statement'!E9</f>
        <v>262</v>
      </c>
      <c r="F5" s="44">
        <f>F11*F4</f>
        <v>268.61097899032279</v>
      </c>
      <c r="G5" s="44">
        <f>G11*G4</f>
        <v>265.21235671971488</v>
      </c>
      <c r="H5" s="44">
        <f>H11*H4</f>
        <v>261.85673579395768</v>
      </c>
      <c r="I5" s="44">
        <f>I11*I4</f>
        <v>258.54357213503619</v>
      </c>
      <c r="J5" s="44">
        <f>J11*J4</f>
        <v>255.27232854892677</v>
      </c>
    </row>
    <row r="6" spans="2:10" ht="14.25" customHeight="1">
      <c r="B6" s="28" t="s">
        <v>64</v>
      </c>
      <c r="C6" s="44">
        <f>C7-C4+C5</f>
        <v>461.06000000000017</v>
      </c>
      <c r="D6" s="44">
        <f>D7-D4+D5</f>
        <v>165.61999999999989</v>
      </c>
      <c r="E6" s="44">
        <f>E7-E4+E5</f>
        <v>262.26</v>
      </c>
      <c r="F6" s="44">
        <f>F12*F4</f>
        <v>247.71600000000001</v>
      </c>
      <c r="G6" s="44">
        <f>G12*G4</f>
        <v>244.58175315145161</v>
      </c>
      <c r="H6" s="44">
        <f>H12*H4</f>
        <v>241.48716261621212</v>
      </c>
      <c r="I6" s="44">
        <f>I12*I4</f>
        <v>238.43172663955025</v>
      </c>
      <c r="J6" s="44">
        <f>J12*J4</f>
        <v>235.41494981522737</v>
      </c>
    </row>
    <row r="7" spans="2:10" ht="14.25" customHeight="1">
      <c r="B7" s="45" t="s">
        <v>65</v>
      </c>
      <c r="C7" s="46">
        <f>SUM('Balance Sheet'!D11:D12)</f>
        <v>1760.5600000000002</v>
      </c>
      <c r="D7" s="46">
        <f>SUM('Balance Sheet'!E11:E12)</f>
        <v>1651.18</v>
      </c>
      <c r="E7" s="46">
        <f>SUM('Balance Sheet'!F11:F12)</f>
        <v>1651.44</v>
      </c>
      <c r="F7" s="46">
        <f>F4-F5+F6</f>
        <v>1630.5450210096774</v>
      </c>
      <c r="G7" s="46">
        <f>G4-G5+G6</f>
        <v>1609.9144174414141</v>
      </c>
      <c r="H7" s="46">
        <f>H4-H5+H6</f>
        <v>1589.5448442636684</v>
      </c>
      <c r="I7" s="46">
        <f>I4-I5+I6</f>
        <v>1569.4329987681826</v>
      </c>
      <c r="J7" s="46">
        <f>J4-J5+J6</f>
        <v>1549.5756200344833</v>
      </c>
    </row>
    <row r="8" spans="2:10" ht="14.25" customHeight="1">
      <c r="E8" s="44"/>
    </row>
    <row r="9" spans="2:10" ht="14.25" customHeight="1">
      <c r="B9" s="24" t="s">
        <v>56</v>
      </c>
      <c r="C9" s="24"/>
      <c r="D9" s="24"/>
      <c r="E9" s="24"/>
      <c r="F9" s="24"/>
      <c r="G9" s="24"/>
      <c r="H9" s="24"/>
      <c r="I9" s="24"/>
      <c r="J9" s="24"/>
    </row>
    <row r="10" spans="2:10" ht="14.25" customHeight="1">
      <c r="B10" s="25" t="s">
        <v>37</v>
      </c>
      <c r="C10" s="26">
        <v>45382</v>
      </c>
      <c r="D10" s="26">
        <v>45747</v>
      </c>
      <c r="E10" s="26">
        <v>46112</v>
      </c>
      <c r="F10" s="27">
        <v>46477</v>
      </c>
      <c r="G10" s="27">
        <v>46843</v>
      </c>
      <c r="H10" s="27">
        <v>47208</v>
      </c>
      <c r="I10" s="27">
        <v>47573</v>
      </c>
      <c r="J10" s="27">
        <v>47938</v>
      </c>
    </row>
    <row r="11" spans="2:10" ht="14.25" customHeight="1">
      <c r="B11" s="39" t="s">
        <v>66</v>
      </c>
      <c r="C11" s="40">
        <f>C5/C4</f>
        <v>0.17308304167992364</v>
      </c>
      <c r="D11" s="40">
        <f>D5/D4</f>
        <v>0.15620029990457579</v>
      </c>
      <c r="E11" s="40">
        <f>E5/E4</f>
        <v>0.15867440254848048</v>
      </c>
      <c r="F11" s="40">
        <f>AVERAGE(C11:E11)</f>
        <v>0.16265258137765998</v>
      </c>
      <c r="G11" s="40">
        <f t="shared" ref="G11:J12" si="0">F11</f>
        <v>0.16265258137765998</v>
      </c>
      <c r="H11" s="40">
        <f t="shared" si="0"/>
        <v>0.16265258137765998</v>
      </c>
      <c r="I11" s="40">
        <f t="shared" si="0"/>
        <v>0.16265258137765998</v>
      </c>
      <c r="J11" s="40">
        <f t="shared" si="0"/>
        <v>0.16265258137765998</v>
      </c>
    </row>
    <row r="12" spans="2:10" ht="14.25" customHeight="1">
      <c r="B12" s="39" t="s">
        <v>67</v>
      </c>
      <c r="C12" s="40">
        <f>C6/C4</f>
        <v>0.29338848234171183</v>
      </c>
      <c r="D12" s="40">
        <f>D6/D4</f>
        <v>9.4072340618893913E-2</v>
      </c>
      <c r="E12" s="40">
        <f>E6/E4</f>
        <v>0.15883186569604765</v>
      </c>
      <c r="F12" s="40">
        <v>0.15</v>
      </c>
      <c r="G12" s="40">
        <f t="shared" si="0"/>
        <v>0.15</v>
      </c>
      <c r="H12" s="40">
        <f t="shared" si="0"/>
        <v>0.15</v>
      </c>
      <c r="I12" s="40">
        <f t="shared" si="0"/>
        <v>0.15</v>
      </c>
      <c r="J12" s="40">
        <f t="shared" si="0"/>
        <v>0.15</v>
      </c>
    </row>
    <row r="13" spans="2:10" ht="14.25" customHeight="1">
      <c r="C13" s="47"/>
      <c r="D13" s="47"/>
      <c r="E13" s="47"/>
      <c r="F13" s="47"/>
      <c r="G13" s="47"/>
      <c r="H13" s="47"/>
      <c r="I13" s="47"/>
      <c r="J13" s="47"/>
    </row>
    <row r="14" spans="2:10" ht="14.25" customHeight="1">
      <c r="B14" s="48"/>
      <c r="C14" s="48"/>
      <c r="D14" s="48"/>
      <c r="E14" s="47"/>
      <c r="F14" s="47"/>
      <c r="G14" s="47"/>
      <c r="H14" s="47"/>
      <c r="I14" s="47"/>
      <c r="J14" s="47"/>
    </row>
    <row r="15" spans="2:10" ht="14.25" customHeight="1">
      <c r="C15" s="47"/>
      <c r="D15" s="47"/>
      <c r="E15" s="47"/>
      <c r="F15" s="47"/>
      <c r="G15" s="47"/>
      <c r="H15" s="47"/>
      <c r="I15" s="47"/>
      <c r="J15" s="47"/>
    </row>
    <row r="16" spans="2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998"/>
  <sheetViews>
    <sheetView showGridLines="0" zoomScale="77" zoomScaleNormal="77" workbookViewId="0">
      <selection activeCell="F13" sqref="F13"/>
    </sheetView>
  </sheetViews>
  <sheetFormatPr defaultColWidth="14.453125" defaultRowHeight="15" customHeight="1"/>
  <cols>
    <col min="1" max="1" width="8.81640625" customWidth="1"/>
    <col min="2" max="2" width="36.36328125" customWidth="1"/>
    <col min="3" max="3" width="15.90625" customWidth="1"/>
    <col min="4" max="4" width="14.36328125" customWidth="1"/>
    <col min="5" max="5" width="13.1796875" customWidth="1"/>
    <col min="6" max="6" width="12.7265625" customWidth="1"/>
    <col min="7" max="7" width="12.08984375" customWidth="1"/>
    <col min="8" max="9" width="12.90625" customWidth="1"/>
    <col min="10" max="10" width="14.7265625" customWidth="1"/>
    <col min="11" max="11" width="16.6328125" customWidth="1"/>
    <col min="12" max="25" width="8.81640625" customWidth="1"/>
  </cols>
  <sheetData>
    <row r="1" spans="2:14" ht="14.25" customHeight="1"/>
    <row r="2" spans="2:14" ht="14.25" customHeight="1">
      <c r="B2" s="24" t="s">
        <v>68</v>
      </c>
      <c r="C2" s="24"/>
      <c r="D2" s="24"/>
      <c r="E2" s="24"/>
      <c r="F2" s="24"/>
      <c r="G2" s="24"/>
      <c r="H2" s="24"/>
      <c r="I2" s="24"/>
      <c r="J2" s="24"/>
      <c r="K2" s="24"/>
    </row>
    <row r="3" spans="2:14" ht="14.25" customHeight="1">
      <c r="B3" s="25" t="s">
        <v>37</v>
      </c>
      <c r="C3" s="42">
        <v>45016</v>
      </c>
      <c r="D3" s="42">
        <v>45382</v>
      </c>
      <c r="E3" s="42">
        <v>45747</v>
      </c>
      <c r="F3" s="42">
        <v>46112</v>
      </c>
      <c r="G3" s="43">
        <v>46477</v>
      </c>
      <c r="H3" s="43">
        <v>46843</v>
      </c>
      <c r="I3" s="43">
        <v>47208</v>
      </c>
      <c r="J3" s="43">
        <v>47573</v>
      </c>
      <c r="K3" s="43">
        <f>K16</f>
        <v>47938</v>
      </c>
    </row>
    <row r="4" spans="2:14" ht="14.25" customHeight="1">
      <c r="B4" s="28" t="s">
        <v>69</v>
      </c>
      <c r="C4" s="49">
        <f>'Balance Sheet'!C6</f>
        <v>1028.6199999999999</v>
      </c>
      <c r="D4" s="49">
        <f>'Balance Sheet'!D6</f>
        <v>756.71</v>
      </c>
      <c r="E4" s="49">
        <f>'Balance Sheet'!E6</f>
        <v>962.31</v>
      </c>
      <c r="F4" s="49">
        <f>'Balance Sheet'!F6</f>
        <v>560.37</v>
      </c>
      <c r="G4" s="49">
        <f>G20*G17/360</f>
        <v>1201.4046200541184</v>
      </c>
      <c r="H4" s="49">
        <f>H20*H17/360</f>
        <v>1321.5450820595302</v>
      </c>
      <c r="I4" s="49">
        <f>I20*I17/360</f>
        <v>1440.4841394448879</v>
      </c>
      <c r="J4" s="49">
        <f>J20*J17/360</f>
        <v>1541.3180292060301</v>
      </c>
      <c r="K4" s="49">
        <f>K20*K17/360</f>
        <v>1618.3839306663317</v>
      </c>
      <c r="L4" s="44"/>
      <c r="M4" s="44"/>
      <c r="N4" s="44"/>
    </row>
    <row r="5" spans="2:14" ht="14.25" customHeight="1">
      <c r="B5" s="28" t="s">
        <v>70</v>
      </c>
      <c r="C5" s="49">
        <f>'Balance Sheet'!C7</f>
        <v>2528.5500000000002</v>
      </c>
      <c r="D5" s="49">
        <f>'Balance Sheet'!D7</f>
        <v>3351.47</v>
      </c>
      <c r="E5" s="49">
        <f>'Balance Sheet'!E7</f>
        <v>2950.6</v>
      </c>
      <c r="F5" s="49">
        <f>'Balance Sheet'!F7</f>
        <v>3531.3</v>
      </c>
      <c r="G5" s="49">
        <f>G18*G21/360</f>
        <v>4306.4125995178611</v>
      </c>
      <c r="H5" s="49">
        <f>H18*H21/360</f>
        <v>4737.0538594696473</v>
      </c>
      <c r="I5" s="49">
        <f>I18*I21/360</f>
        <v>5163.3887068219165</v>
      </c>
      <c r="J5" s="49">
        <f>J18*J21/360</f>
        <v>5524.8259162994509</v>
      </c>
      <c r="K5" s="49">
        <f>K18*K21/360</f>
        <v>5801.0672121144235</v>
      </c>
      <c r="L5" s="44"/>
      <c r="M5" s="44"/>
      <c r="N5" s="44"/>
    </row>
    <row r="6" spans="2:14" ht="14.25" customHeight="1">
      <c r="B6" s="28" t="s">
        <v>71</v>
      </c>
      <c r="C6" s="49">
        <v>0</v>
      </c>
      <c r="D6" s="49">
        <v>0</v>
      </c>
      <c r="E6" s="49">
        <v>0</v>
      </c>
      <c r="F6" s="49">
        <v>0</v>
      </c>
      <c r="G6" s="49">
        <v>0</v>
      </c>
      <c r="H6" s="49">
        <v>0</v>
      </c>
      <c r="I6" s="49">
        <v>0</v>
      </c>
      <c r="J6" s="49">
        <v>0</v>
      </c>
      <c r="K6" s="49">
        <v>0</v>
      </c>
    </row>
    <row r="7" spans="2:14" ht="14.25" customHeight="1">
      <c r="B7" s="45" t="s">
        <v>53</v>
      </c>
      <c r="C7" s="50">
        <f t="shared" ref="C7:K7" si="0">SUM(C4:C6)</f>
        <v>3557.17</v>
      </c>
      <c r="D7" s="50">
        <f t="shared" si="0"/>
        <v>4108.18</v>
      </c>
      <c r="E7" s="50">
        <f t="shared" si="0"/>
        <v>3912.91</v>
      </c>
      <c r="F7" s="50">
        <f t="shared" si="0"/>
        <v>4091.67</v>
      </c>
      <c r="G7" s="50">
        <f t="shared" si="0"/>
        <v>5507.8172195719799</v>
      </c>
      <c r="H7" s="50">
        <f t="shared" si="0"/>
        <v>6058.598941529177</v>
      </c>
      <c r="I7" s="50">
        <f t="shared" si="0"/>
        <v>6603.8728462668041</v>
      </c>
      <c r="J7" s="50">
        <f t="shared" si="0"/>
        <v>7066.1439455054806</v>
      </c>
      <c r="K7" s="50">
        <f t="shared" si="0"/>
        <v>7419.4511427807556</v>
      </c>
    </row>
    <row r="8" spans="2:14" ht="14.25" customHeight="1">
      <c r="C8" s="10"/>
      <c r="D8" s="10"/>
      <c r="E8" s="10"/>
      <c r="F8" s="10"/>
      <c r="G8" s="10"/>
      <c r="H8" s="10"/>
      <c r="I8" s="10"/>
      <c r="J8" s="10"/>
      <c r="K8" s="10"/>
    </row>
    <row r="9" spans="2:14" ht="14.25" customHeight="1">
      <c r="B9" s="28" t="s">
        <v>72</v>
      </c>
      <c r="C9" s="49">
        <f>'Balance Sheet'!C16</f>
        <v>7106.38</v>
      </c>
      <c r="D9" s="49">
        <f>'Balance Sheet'!D16</f>
        <v>7168.2</v>
      </c>
      <c r="E9" s="49">
        <f>'Balance Sheet'!E16</f>
        <v>4897.45</v>
      </c>
      <c r="F9" s="49">
        <f>'Balance Sheet'!F16</f>
        <v>4415.03</v>
      </c>
      <c r="G9" s="49">
        <f>G18*G22/360</f>
        <v>8542.9153342456102</v>
      </c>
      <c r="H9" s="49">
        <f>H18*H22/360</f>
        <v>9397.2068676701729</v>
      </c>
      <c r="I9" s="49">
        <f>I18*I22/360</f>
        <v>10242.955485760487</v>
      </c>
      <c r="J9" s="49">
        <f>J18*J22/360</f>
        <v>10959.962369763723</v>
      </c>
      <c r="K9" s="49">
        <f>K18*K22/360</f>
        <v>11507.960488251909</v>
      </c>
    </row>
    <row r="10" spans="2:14" ht="14.25" customHeight="1">
      <c r="B10" s="28" t="s">
        <v>73</v>
      </c>
      <c r="C10" s="49">
        <f>'Balance Sheet'!C17</f>
        <v>25.89</v>
      </c>
      <c r="D10" s="49">
        <f>'Balance Sheet'!D17</f>
        <v>21.62</v>
      </c>
      <c r="E10" s="49">
        <f>'Balance Sheet'!E17</f>
        <v>48.56</v>
      </c>
      <c r="F10" s="49">
        <f>'Balance Sheet'!F17</f>
        <v>91.28</v>
      </c>
      <c r="G10" s="49">
        <f>G17*G$24</f>
        <v>60.971844299454894</v>
      </c>
      <c r="H10" s="49">
        <f>H17*H$24</f>
        <v>67.069028729400387</v>
      </c>
      <c r="I10" s="49">
        <f>I17*I$24</f>
        <v>73.105241315046428</v>
      </c>
      <c r="J10" s="49">
        <f>J17*J$24</f>
        <v>78.222608207099682</v>
      </c>
      <c r="K10" s="49">
        <f>K17*K$24</f>
        <v>82.133738617454682</v>
      </c>
    </row>
    <row r="11" spans="2:14" ht="14.25" customHeight="1">
      <c r="B11" s="28" t="str">
        <f>'Balance Sheet'!B18</f>
        <v>Current tax and other payables</v>
      </c>
      <c r="C11" s="49">
        <f>'Balance Sheet'!C18</f>
        <v>786.99</v>
      </c>
      <c r="D11" s="49">
        <f>'Balance Sheet'!D18</f>
        <v>842.44</v>
      </c>
      <c r="E11" s="49">
        <f>'Balance Sheet'!E18</f>
        <v>1099.32</v>
      </c>
      <c r="F11" s="49">
        <f>'Balance Sheet'!F18</f>
        <v>736.1</v>
      </c>
      <c r="G11" s="49">
        <f t="shared" ref="G11:K12" si="1">G$17*G25</f>
        <v>1233.8389475115243</v>
      </c>
      <c r="H11" s="49">
        <f t="shared" si="1"/>
        <v>1357.222842262677</v>
      </c>
      <c r="I11" s="49">
        <f t="shared" si="1"/>
        <v>1479.3728980663179</v>
      </c>
      <c r="J11" s="49">
        <f t="shared" si="1"/>
        <v>1582.9290009309602</v>
      </c>
      <c r="K11" s="49">
        <f t="shared" si="1"/>
        <v>1662.0754509775084</v>
      </c>
    </row>
    <row r="12" spans="2:14" ht="14.25" customHeight="1">
      <c r="B12" s="28" t="str">
        <f>'Balance Sheet'!B21</f>
        <v>Lease liabilities (current)</v>
      </c>
      <c r="C12" s="49">
        <f>'Balance Sheet'!C21</f>
        <v>57.31</v>
      </c>
      <c r="D12" s="49">
        <f>'Balance Sheet'!D21</f>
        <v>38.869999999999997</v>
      </c>
      <c r="E12" s="49">
        <f>'Balance Sheet'!E21</f>
        <v>58.51</v>
      </c>
      <c r="F12" s="49">
        <f>'Balance Sheet'!F21</f>
        <v>59.76</v>
      </c>
      <c r="G12" s="49">
        <f t="shared" si="1"/>
        <v>75.20390299046403</v>
      </c>
      <c r="H12" s="49">
        <f t="shared" si="1"/>
        <v>82.724293289510456</v>
      </c>
      <c r="I12" s="49">
        <f t="shared" si="1"/>
        <v>90.169479685566401</v>
      </c>
      <c r="J12" s="49">
        <f t="shared" si="1"/>
        <v>96.481343263556042</v>
      </c>
      <c r="K12" s="49">
        <f t="shared" si="1"/>
        <v>101.30541042673386</v>
      </c>
    </row>
    <row r="13" spans="2:14" ht="14.25" customHeight="1">
      <c r="B13" s="45" t="s">
        <v>74</v>
      </c>
      <c r="C13" s="50">
        <f t="shared" ref="C13:K13" si="2">SUM(C9:C12)</f>
        <v>7976.5700000000006</v>
      </c>
      <c r="D13" s="50">
        <f t="shared" si="2"/>
        <v>8071.13</v>
      </c>
      <c r="E13" s="50">
        <f t="shared" si="2"/>
        <v>6103.84</v>
      </c>
      <c r="F13" s="50">
        <f t="shared" si="2"/>
        <v>5302.17</v>
      </c>
      <c r="G13" s="50">
        <f t="shared" si="2"/>
        <v>9912.9300290470528</v>
      </c>
      <c r="H13" s="50">
        <f t="shared" si="2"/>
        <v>10904.22303195176</v>
      </c>
      <c r="I13" s="50">
        <f t="shared" si="2"/>
        <v>11885.603104827418</v>
      </c>
      <c r="J13" s="50">
        <f t="shared" si="2"/>
        <v>12717.59532216534</v>
      </c>
      <c r="K13" s="50">
        <f t="shared" si="2"/>
        <v>13353.475088273606</v>
      </c>
    </row>
    <row r="14" spans="2:14" ht="14.25" customHeight="1">
      <c r="C14" s="10"/>
      <c r="D14" s="10"/>
      <c r="E14" s="10"/>
      <c r="F14" s="10"/>
      <c r="G14" s="10"/>
      <c r="H14" s="10"/>
      <c r="I14" s="10"/>
      <c r="J14" s="10"/>
    </row>
    <row r="15" spans="2:14" ht="14.25" customHeight="1">
      <c r="B15" s="24" t="s">
        <v>56</v>
      </c>
      <c r="C15" s="51"/>
      <c r="D15" s="51"/>
      <c r="E15" s="51"/>
      <c r="F15" s="51"/>
      <c r="G15" s="51"/>
      <c r="H15" s="51"/>
      <c r="I15" s="51"/>
      <c r="J15" s="51"/>
      <c r="K15" s="51"/>
    </row>
    <row r="16" spans="2:14" ht="14.25" customHeight="1">
      <c r="B16" s="25" t="s">
        <v>37</v>
      </c>
      <c r="C16" s="42">
        <v>45016</v>
      </c>
      <c r="D16" s="42">
        <v>45382</v>
      </c>
      <c r="E16" s="42">
        <v>45747</v>
      </c>
      <c r="F16" s="42">
        <v>46112</v>
      </c>
      <c r="G16" s="43">
        <v>46477</v>
      </c>
      <c r="H16" s="43">
        <v>46843</v>
      </c>
      <c r="I16" s="43">
        <v>47208</v>
      </c>
      <c r="J16" s="43">
        <v>47573</v>
      </c>
      <c r="K16" s="43">
        <v>47938</v>
      </c>
    </row>
    <row r="17" spans="2:12" ht="14.25" customHeight="1">
      <c r="B17" s="52" t="s">
        <v>38</v>
      </c>
      <c r="C17" s="53">
        <v>14135.74</v>
      </c>
      <c r="D17" s="53">
        <f>'Income Statement'!C5</f>
        <v>14524</v>
      </c>
      <c r="E17" s="53">
        <f>'Income Statement'!D5</f>
        <v>16309</v>
      </c>
      <c r="F17" s="53">
        <f>'Income Statement'!E5</f>
        <v>20712</v>
      </c>
      <c r="G17" s="53">
        <f>'Free Cash Flow'!F4</f>
        <v>22783.200000000001</v>
      </c>
      <c r="H17" s="53">
        <f>'Free Cash Flow'!G4</f>
        <v>25061.520000000004</v>
      </c>
      <c r="I17" s="53">
        <f>'Free Cash Flow'!H4</f>
        <v>27317.056800000006</v>
      </c>
      <c r="J17" s="53">
        <f>'Free Cash Flow'!I4</f>
        <v>29229.250776000008</v>
      </c>
      <c r="K17" s="53">
        <f>'Free Cash Flow'!J4</f>
        <v>30690.71331480001</v>
      </c>
      <c r="L17" s="28"/>
    </row>
    <row r="18" spans="2:12" ht="14.25" customHeight="1">
      <c r="B18" s="52" t="s">
        <v>39</v>
      </c>
      <c r="C18" s="54">
        <v>6811.2</v>
      </c>
      <c r="D18" s="53">
        <f>'Income Statement'!C7</f>
        <v>6099</v>
      </c>
      <c r="E18" s="53">
        <f>'Income Statement'!D7</f>
        <v>6598</v>
      </c>
      <c r="F18" s="53">
        <f>'Income Statement'!E7</f>
        <v>10477</v>
      </c>
      <c r="G18" s="53">
        <f>'Free Cash Flow'!F5</f>
        <v>10103.054830249554</v>
      </c>
      <c r="H18" s="53">
        <f>'Free Cash Flow'!G5</f>
        <v>11113.36031327451</v>
      </c>
      <c r="I18" s="53">
        <f>'Free Cash Flow'!H5</f>
        <v>12113.562741469217</v>
      </c>
      <c r="J18" s="53">
        <f>'Free Cash Flow'!I5</f>
        <v>12961.512133372064</v>
      </c>
      <c r="K18" s="53">
        <f>'Free Cash Flow'!J5</f>
        <v>13609.587740040666</v>
      </c>
    </row>
    <row r="19" spans="2:12" ht="14.25" customHeight="1">
      <c r="B19" s="52"/>
      <c r="C19" s="53"/>
      <c r="D19" s="53"/>
      <c r="E19" s="53"/>
      <c r="F19" s="53"/>
      <c r="G19" s="53"/>
      <c r="H19" s="53"/>
      <c r="I19" s="53"/>
      <c r="J19" s="53"/>
      <c r="K19" s="53"/>
    </row>
    <row r="20" spans="2:12" ht="14.25" customHeight="1">
      <c r="B20" s="52" t="s">
        <v>75</v>
      </c>
      <c r="C20" s="53">
        <f t="shared" ref="C20:F21" si="3">C4/C17*360</f>
        <v>26.196237338830507</v>
      </c>
      <c r="D20" s="53">
        <f t="shared" si="3"/>
        <v>18.756237950977692</v>
      </c>
      <c r="E20" s="53">
        <f t="shared" si="3"/>
        <v>21.241743822429331</v>
      </c>
      <c r="F20" s="53">
        <f t="shared" si="3"/>
        <v>9.7399188876013909</v>
      </c>
      <c r="G20" s="53">
        <f>AVERAGE(C20:F20)</f>
        <v>18.983534499959731</v>
      </c>
      <c r="H20" s="53">
        <f t="shared" ref="H20:K22" si="4">G20</f>
        <v>18.983534499959731</v>
      </c>
      <c r="I20" s="53">
        <f t="shared" si="4"/>
        <v>18.983534499959731</v>
      </c>
      <c r="J20" s="53">
        <f t="shared" si="4"/>
        <v>18.983534499959731</v>
      </c>
      <c r="K20" s="53">
        <f t="shared" si="4"/>
        <v>18.983534499959731</v>
      </c>
    </row>
    <row r="21" spans="2:12" ht="14.25" customHeight="1">
      <c r="B21" s="52" t="s">
        <v>76</v>
      </c>
      <c r="C21" s="53">
        <f t="shared" si="3"/>
        <v>133.64429175475689</v>
      </c>
      <c r="D21" s="53">
        <f t="shared" si="3"/>
        <v>197.82410231185438</v>
      </c>
      <c r="E21" s="53">
        <f t="shared" si="3"/>
        <v>160.99060321309489</v>
      </c>
      <c r="F21" s="53">
        <f t="shared" si="3"/>
        <v>121.33893290063951</v>
      </c>
      <c r="G21" s="53">
        <f>AVERAGE(C21:F21)</f>
        <v>153.44948254508643</v>
      </c>
      <c r="H21" s="53">
        <f t="shared" si="4"/>
        <v>153.44948254508643</v>
      </c>
      <c r="I21" s="53">
        <f t="shared" si="4"/>
        <v>153.44948254508643</v>
      </c>
      <c r="J21" s="53">
        <f t="shared" si="4"/>
        <v>153.44948254508643</v>
      </c>
      <c r="K21" s="53">
        <f t="shared" si="4"/>
        <v>153.44948254508643</v>
      </c>
    </row>
    <row r="22" spans="2:12" ht="14.25" customHeight="1">
      <c r="B22" s="52" t="s">
        <v>77</v>
      </c>
      <c r="C22" s="53">
        <f>C9/C18*360</f>
        <v>375.60147991543346</v>
      </c>
      <c r="D22" s="53">
        <f>D9/D18*360</f>
        <v>423.1106738809641</v>
      </c>
      <c r="E22" s="53">
        <f>E9/E18*360</f>
        <v>267.21461048802666</v>
      </c>
      <c r="F22" s="53">
        <f>F9/F18*360</f>
        <v>151.70476281378257</v>
      </c>
      <c r="G22" s="53">
        <f>AVERAGE(C22:F22)</f>
        <v>304.4078817745517</v>
      </c>
      <c r="H22" s="53">
        <f t="shared" si="4"/>
        <v>304.4078817745517</v>
      </c>
      <c r="I22" s="53">
        <f t="shared" si="4"/>
        <v>304.4078817745517</v>
      </c>
      <c r="J22" s="53">
        <f t="shared" si="4"/>
        <v>304.4078817745517</v>
      </c>
      <c r="K22" s="53">
        <f t="shared" si="4"/>
        <v>304.4078817745517</v>
      </c>
    </row>
    <row r="23" spans="2:12" ht="14.25" customHeight="1">
      <c r="B23" s="52"/>
      <c r="C23" s="53"/>
      <c r="D23" s="53"/>
      <c r="E23" s="53"/>
      <c r="F23" s="53"/>
      <c r="G23" s="53"/>
      <c r="H23" s="53"/>
      <c r="I23" s="53"/>
      <c r="J23" s="53"/>
      <c r="K23" s="53"/>
    </row>
    <row r="24" spans="2:12" ht="14.25" customHeight="1">
      <c r="B24" s="52" t="s">
        <v>78</v>
      </c>
      <c r="C24" s="55">
        <f t="shared" ref="C24:F26" si="5">C10/C$17</f>
        <v>1.8315277445680241E-3</v>
      </c>
      <c r="D24" s="55">
        <f t="shared" si="5"/>
        <v>1.4885706416965024E-3</v>
      </c>
      <c r="E24" s="55">
        <f t="shared" si="5"/>
        <v>2.9774970874977009E-3</v>
      </c>
      <c r="F24" s="55">
        <f t="shared" si="5"/>
        <v>4.4071069911162612E-3</v>
      </c>
      <c r="G24" s="55">
        <f>AVERAGE(C24:F24)</f>
        <v>2.676175616219622E-3</v>
      </c>
      <c r="H24" s="55">
        <f t="shared" ref="H24:K26" si="6">G24</f>
        <v>2.676175616219622E-3</v>
      </c>
      <c r="I24" s="55">
        <f t="shared" si="6"/>
        <v>2.676175616219622E-3</v>
      </c>
      <c r="J24" s="55">
        <f t="shared" si="6"/>
        <v>2.676175616219622E-3</v>
      </c>
      <c r="K24" s="55">
        <f t="shared" si="6"/>
        <v>2.676175616219622E-3</v>
      </c>
    </row>
    <row r="25" spans="2:12" ht="14.25" customHeight="1">
      <c r="B25" s="52" t="s">
        <v>79</v>
      </c>
      <c r="C25" s="55">
        <f t="shared" si="5"/>
        <v>5.5673774418601364E-2</v>
      </c>
      <c r="D25" s="55">
        <f t="shared" si="5"/>
        <v>5.8003304874690173E-2</v>
      </c>
      <c r="E25" s="55">
        <f t="shared" si="5"/>
        <v>6.740572689925807E-2</v>
      </c>
      <c r="F25" s="55">
        <f t="shared" si="5"/>
        <v>3.5539783700270375E-2</v>
      </c>
      <c r="G25" s="55">
        <f>AVERAGE(C25:F25)</f>
        <v>5.4155647473205004E-2</v>
      </c>
      <c r="H25" s="55">
        <f t="shared" si="6"/>
        <v>5.4155647473205004E-2</v>
      </c>
      <c r="I25" s="55">
        <f t="shared" si="6"/>
        <v>5.4155647473205004E-2</v>
      </c>
      <c r="J25" s="55">
        <f t="shared" si="6"/>
        <v>5.4155647473205004E-2</v>
      </c>
      <c r="K25" s="55">
        <f t="shared" si="6"/>
        <v>5.4155647473205004E-2</v>
      </c>
    </row>
    <row r="26" spans="2:12" ht="14.25" customHeight="1">
      <c r="B26" s="52" t="s">
        <v>80</v>
      </c>
      <c r="C26" s="55">
        <f t="shared" si="5"/>
        <v>4.0542624581380252E-3</v>
      </c>
      <c r="D26" s="55">
        <f t="shared" si="5"/>
        <v>2.6762599834756263E-3</v>
      </c>
      <c r="E26" s="55">
        <f t="shared" si="5"/>
        <v>3.5875896744129009E-3</v>
      </c>
      <c r="F26" s="55">
        <f t="shared" si="5"/>
        <v>2.8852838933951333E-3</v>
      </c>
      <c r="G26" s="55">
        <f>AVERAGE(C26:F26)</f>
        <v>3.3008490023554212E-3</v>
      </c>
      <c r="H26" s="55">
        <f t="shared" si="6"/>
        <v>3.3008490023554212E-3</v>
      </c>
      <c r="I26" s="55">
        <f t="shared" si="6"/>
        <v>3.3008490023554212E-3</v>
      </c>
      <c r="J26" s="55">
        <f t="shared" si="6"/>
        <v>3.3008490023554212E-3</v>
      </c>
      <c r="K26" s="55">
        <f t="shared" si="6"/>
        <v>3.3008490023554212E-3</v>
      </c>
    </row>
    <row r="27" spans="2:12" ht="14.25" customHeight="1"/>
    <row r="28" spans="2:12" ht="14.25" customHeight="1"/>
    <row r="29" spans="2:12" ht="14.25" customHeight="1"/>
    <row r="30" spans="2:12" ht="14.25" customHeight="1"/>
    <row r="31" spans="2:12" ht="14.25" customHeight="1"/>
    <row r="32" spans="2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000"/>
  <sheetViews>
    <sheetView showGridLines="0" topLeftCell="A4" zoomScaleNormal="100" workbookViewId="0">
      <selection activeCell="C20" sqref="C20"/>
    </sheetView>
  </sheetViews>
  <sheetFormatPr defaultColWidth="14.453125" defaultRowHeight="15" customHeight="1"/>
  <cols>
    <col min="1" max="1" width="8.81640625" customWidth="1"/>
    <col min="2" max="2" width="28.54296875" customWidth="1"/>
    <col min="3" max="3" width="14.453125" customWidth="1"/>
    <col min="4" max="10" width="9.453125" customWidth="1"/>
    <col min="11" max="11" width="10.26953125" customWidth="1"/>
    <col min="12" max="26" width="8.81640625" customWidth="1"/>
  </cols>
  <sheetData>
    <row r="1" spans="2:11" ht="14.25" customHeight="1"/>
    <row r="2" spans="2:11" ht="14.25" customHeight="1">
      <c r="B2" s="56" t="s">
        <v>36</v>
      </c>
      <c r="C2" s="57"/>
      <c r="D2" s="57"/>
      <c r="E2" s="57"/>
      <c r="F2" s="57"/>
      <c r="G2" s="57"/>
      <c r="H2" s="57"/>
      <c r="I2" s="57"/>
      <c r="J2" s="57"/>
      <c r="K2" s="57"/>
    </row>
    <row r="3" spans="2:11" ht="14.25" customHeight="1">
      <c r="B3" s="25" t="s">
        <v>37</v>
      </c>
      <c r="C3" s="26"/>
      <c r="D3" s="26">
        <v>45382</v>
      </c>
      <c r="E3" s="26">
        <v>45747</v>
      </c>
      <c r="F3" s="26">
        <v>46112</v>
      </c>
      <c r="G3" s="27">
        <v>46477</v>
      </c>
      <c r="H3" s="27">
        <v>46843</v>
      </c>
      <c r="I3" s="27">
        <v>47208</v>
      </c>
      <c r="J3" s="27">
        <v>47573</v>
      </c>
      <c r="K3" s="27">
        <v>47938</v>
      </c>
    </row>
    <row r="4" spans="2:11" ht="14.25" customHeight="1">
      <c r="B4" s="58" t="s">
        <v>55</v>
      </c>
      <c r="C4" s="44"/>
      <c r="D4" s="44">
        <f>'Free Cash Flow'!C21</f>
        <v>3943.4899999999989</v>
      </c>
      <c r="E4" s="44">
        <f>'Free Cash Flow'!D21</f>
        <v>3440.3600000000006</v>
      </c>
      <c r="F4" s="44">
        <f>'Free Cash Flow'!E21</f>
        <v>5266.3099999999995</v>
      </c>
      <c r="G4" s="44">
        <f>'Free Cash Flow'!F21</f>
        <v>10190.586457158017</v>
      </c>
      <c r="H4" s="44">
        <f>'Free Cash Flow'!G21</f>
        <v>8157.1797032091281</v>
      </c>
      <c r="I4" s="44">
        <f>'Free Cash Flow'!H21</f>
        <v>8866.2561317901927</v>
      </c>
      <c r="J4" s="44">
        <f>'Free Cash Flow'!I21</f>
        <v>9405.0714111548441</v>
      </c>
      <c r="K4" s="44">
        <f>'Free Cash Flow'!J21</f>
        <v>9780.9840947042794</v>
      </c>
    </row>
    <row r="5" spans="2:11" ht="14.25" customHeight="1"/>
    <row r="6" spans="2:11" ht="14.25" customHeight="1">
      <c r="B6" s="28" t="s">
        <v>81</v>
      </c>
      <c r="G6" s="28">
        <v>1</v>
      </c>
      <c r="H6" s="28">
        <v>2</v>
      </c>
      <c r="I6" s="28">
        <v>3</v>
      </c>
      <c r="J6" s="28">
        <v>4</v>
      </c>
      <c r="K6" s="28">
        <v>5</v>
      </c>
    </row>
    <row r="7" spans="2:11" ht="14.25" customHeight="1">
      <c r="B7" s="45" t="s">
        <v>82</v>
      </c>
      <c r="C7" s="45"/>
      <c r="D7" s="45"/>
      <c r="E7" s="45"/>
      <c r="F7" s="45"/>
      <c r="G7" s="46">
        <f>G4/(1+$C$12)^G6</f>
        <v>9039.0158392389731</v>
      </c>
      <c r="H7" s="46">
        <f>H4/(1+$C$12)^H6</f>
        <v>6417.7673427896652</v>
      </c>
      <c r="I7" s="46">
        <f>I4/(1+$C$12)^I6</f>
        <v>6187.3713460786312</v>
      </c>
      <c r="J7" s="46">
        <f>J4/(1+$C$12)^J6</f>
        <v>5821.7020588092264</v>
      </c>
      <c r="K7" s="46">
        <f>K4/(1+$C$12)^K6</f>
        <v>5370.2239890762103</v>
      </c>
    </row>
    <row r="8" spans="2:11" ht="14.25" customHeight="1"/>
    <row r="9" spans="2:11" ht="14.25" customHeight="1">
      <c r="B9" s="4" t="s">
        <v>83</v>
      </c>
      <c r="C9" s="4"/>
      <c r="E9" s="4" t="s">
        <v>84</v>
      </c>
      <c r="F9" s="4"/>
      <c r="G9" s="4"/>
      <c r="H9" s="4"/>
      <c r="I9" s="4"/>
      <c r="J9" s="4"/>
      <c r="K9" s="4"/>
    </row>
    <row r="10" spans="2:11" ht="14.25" customHeight="1">
      <c r="B10" s="28" t="s">
        <v>85</v>
      </c>
      <c r="C10" s="59">
        <f>SUM(G7:K7)</f>
        <v>32836.080575992703</v>
      </c>
    </row>
    <row r="11" spans="2:11" ht="14.25" customHeight="1">
      <c r="B11" s="28" t="s">
        <v>86</v>
      </c>
      <c r="C11" s="60">
        <v>3.5000000000000003E-2</v>
      </c>
      <c r="E11" s="28"/>
      <c r="F11" s="28"/>
      <c r="G11" s="3" t="s">
        <v>86</v>
      </c>
      <c r="H11" s="3"/>
      <c r="I11" s="3"/>
      <c r="J11" s="3"/>
      <c r="K11" s="3"/>
    </row>
    <row r="12" spans="2:11" ht="15" customHeight="1">
      <c r="B12" s="28" t="s">
        <v>15</v>
      </c>
      <c r="C12" s="60">
        <f>WACC!D27</f>
        <v>0.12740000000000001</v>
      </c>
      <c r="E12" s="28"/>
      <c r="F12" s="61">
        <f>C21</f>
        <v>3032.6477323973068</v>
      </c>
      <c r="G12" s="62">
        <v>0.02</v>
      </c>
      <c r="H12" s="62">
        <v>2.5000000000000001E-2</v>
      </c>
      <c r="I12" s="62">
        <v>0.03</v>
      </c>
      <c r="J12" s="62">
        <v>3.5000000000000003E-2</v>
      </c>
      <c r="K12" s="62">
        <v>0.04</v>
      </c>
    </row>
    <row r="13" spans="2:11" ht="14.25" customHeight="1">
      <c r="B13" s="28" t="s">
        <v>87</v>
      </c>
      <c r="C13" s="59">
        <f>K4*(1+C11)/(C12-C11)</f>
        <v>109559.72443743427</v>
      </c>
      <c r="E13" s="2" t="s">
        <v>15</v>
      </c>
      <c r="F13" s="63">
        <f>$C$12-0.01</f>
        <v>0.11740000000000002</v>
      </c>
      <c r="G13" s="64">
        <f t="shared" ref="G13:K17" si="0">IF($F13&lt;=G$12,NA(),(SUMPRODUCT($G$4:$K$4,1/(1+$F13)^$G$6:$K$6)+($K$4*(1+G$12)/($F13-G$12))/(1+$F13)^$K$6+$C$16-$C$17-$C$18)/$C$20)</f>
        <v>3015.7169434333186</v>
      </c>
      <c r="H13" s="64">
        <f t="shared" si="0"/>
        <v>3126.3733102810452</v>
      </c>
      <c r="I13" s="64">
        <f t="shared" si="0"/>
        <v>3249.6905886674131</v>
      </c>
      <c r="J13" s="64">
        <f t="shared" si="0"/>
        <v>3387.97355617834</v>
      </c>
      <c r="K13" s="64">
        <f t="shared" si="0"/>
        <v>3544.1225401635479</v>
      </c>
    </row>
    <row r="14" spans="2:11" ht="14.25" customHeight="1">
      <c r="B14" s="28" t="s">
        <v>88</v>
      </c>
      <c r="C14" s="59">
        <f>C13/(1+C12)^K6</f>
        <v>60153.48299452247</v>
      </c>
      <c r="D14" s="44"/>
      <c r="E14" s="2"/>
      <c r="F14" s="63">
        <f>$C$12-0.005</f>
        <v>0.12240000000000001</v>
      </c>
      <c r="G14" s="64">
        <f t="shared" si="0"/>
        <v>2872.2308639157654</v>
      </c>
      <c r="H14" s="64">
        <f t="shared" si="0"/>
        <v>2970.3135741061915</v>
      </c>
      <c r="I14" s="64">
        <f t="shared" si="0"/>
        <v>3079.0112962219887</v>
      </c>
      <c r="J14" s="64">
        <f t="shared" si="0"/>
        <v>3200.1458286485181</v>
      </c>
      <c r="K14" s="64">
        <f t="shared" si="0"/>
        <v>3335.9811538452577</v>
      </c>
    </row>
    <row r="15" spans="2:11" ht="14.25" customHeight="1">
      <c r="B15" s="28" t="s">
        <v>89</v>
      </c>
      <c r="C15" s="59">
        <f>C14+C10</f>
        <v>92989.563570515165</v>
      </c>
      <c r="E15" s="2"/>
      <c r="F15" s="63">
        <f>$C$12</f>
        <v>0.12740000000000001</v>
      </c>
      <c r="G15" s="64">
        <f t="shared" si="0"/>
        <v>2742.1285030650438</v>
      </c>
      <c r="H15" s="64">
        <f t="shared" si="0"/>
        <v>2829.5112400126391</v>
      </c>
      <c r="I15" s="65">
        <f t="shared" si="0"/>
        <v>2925.8655105277485</v>
      </c>
      <c r="J15" s="64">
        <f t="shared" si="0"/>
        <v>3032.6477323973068</v>
      </c>
      <c r="K15" s="64">
        <f t="shared" si="0"/>
        <v>3151.6475997896991</v>
      </c>
    </row>
    <row r="16" spans="2:11" ht="14.25" customHeight="1">
      <c r="B16" s="35" t="s">
        <v>90</v>
      </c>
      <c r="C16" s="59">
        <f>'Balance Sheet'!F4+'Balance Sheet'!F5</f>
        <v>2538.84</v>
      </c>
      <c r="E16" s="2"/>
      <c r="F16" s="63">
        <f>$C$12+0.005</f>
        <v>0.13240000000000002</v>
      </c>
      <c r="G16" s="64">
        <f t="shared" si="0"/>
        <v>2623.6230894800715</v>
      </c>
      <c r="H16" s="64">
        <f t="shared" si="0"/>
        <v>2701.8348330789463</v>
      </c>
      <c r="I16" s="64">
        <f t="shared" si="0"/>
        <v>2787.6844422636491</v>
      </c>
      <c r="J16" s="64">
        <f t="shared" si="0"/>
        <v>2882.3481797014006</v>
      </c>
      <c r="K16" s="64">
        <f t="shared" si="0"/>
        <v>2987.2569103683472</v>
      </c>
    </row>
    <row r="17" spans="2:11" ht="14.25" customHeight="1">
      <c r="B17" s="35" t="s">
        <v>91</v>
      </c>
      <c r="C17" s="59">
        <f>WACC!D9</f>
        <v>0</v>
      </c>
      <c r="E17" s="2"/>
      <c r="F17" s="63">
        <f>$C$12+0.01</f>
        <v>0.13740000000000002</v>
      </c>
      <c r="G17" s="64">
        <f t="shared" si="0"/>
        <v>2515.2322622484489</v>
      </c>
      <c r="H17" s="64">
        <f t="shared" si="0"/>
        <v>2585.5321609813209</v>
      </c>
      <c r="I17" s="64">
        <f t="shared" si="0"/>
        <v>2662.3776741213514</v>
      </c>
      <c r="J17" s="64">
        <f t="shared" si="0"/>
        <v>2746.727631903962</v>
      </c>
      <c r="K17" s="64">
        <f t="shared" si="0"/>
        <v>2839.737749623187</v>
      </c>
    </row>
    <row r="18" spans="2:11" ht="14.25" customHeight="1">
      <c r="B18" s="35" t="s">
        <v>92</v>
      </c>
      <c r="C18" s="59">
        <f>'Balance Sheet'!F35</f>
        <v>0</v>
      </c>
    </row>
    <row r="19" spans="2:11" ht="14.25" customHeight="1">
      <c r="B19" s="66" t="s">
        <v>93</v>
      </c>
      <c r="C19" s="67">
        <f>C15+C16-C17-C18</f>
        <v>95528.403570515162</v>
      </c>
    </row>
    <row r="20" spans="2:11" ht="14.25" customHeight="1">
      <c r="B20" s="28" t="s">
        <v>94</v>
      </c>
      <c r="C20" s="68">
        <v>31.5</v>
      </c>
    </row>
    <row r="21" spans="2:11" ht="14.25" customHeight="1">
      <c r="B21" s="69" t="s">
        <v>95</v>
      </c>
      <c r="C21" s="70">
        <f>C19/C20</f>
        <v>3032.6477323973068</v>
      </c>
    </row>
    <row r="22" spans="2:11" ht="14.25" customHeight="1"/>
    <row r="23" spans="2:11" ht="14.25" customHeight="1"/>
    <row r="24" spans="2:11" ht="14.25" customHeight="1"/>
    <row r="25" spans="2:11" ht="14.25" customHeight="1"/>
    <row r="26" spans="2:11" ht="14.25" customHeight="1"/>
    <row r="27" spans="2:11" ht="14.25" customHeight="1"/>
    <row r="28" spans="2:11" ht="14.25" customHeight="1"/>
    <row r="29" spans="2:11" ht="14.25" customHeight="1"/>
    <row r="30" spans="2:11" ht="14.25" customHeight="1"/>
    <row r="31" spans="2:11" ht="14.25" customHeight="1"/>
    <row r="32" spans="2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9:C9"/>
    <mergeCell ref="E9:K9"/>
    <mergeCell ref="G11:K11"/>
    <mergeCell ref="E13:E17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000"/>
  <sheetViews>
    <sheetView showGridLines="0" topLeftCell="A7" zoomScale="84" zoomScaleNormal="84" workbookViewId="0">
      <selection activeCell="D28" sqref="D28"/>
    </sheetView>
  </sheetViews>
  <sheetFormatPr defaultColWidth="14.453125" defaultRowHeight="15" customHeight="1"/>
  <cols>
    <col min="1" max="1" width="8.81640625" customWidth="1"/>
    <col min="2" max="2" width="22" customWidth="1"/>
    <col min="3" max="3" width="8.81640625" customWidth="1"/>
    <col min="4" max="4" width="20.08984375" customWidth="1"/>
    <col min="5" max="5" width="15.08984375" customWidth="1"/>
    <col min="6" max="23" width="8.81640625" customWidth="1"/>
  </cols>
  <sheetData>
    <row r="1" spans="2:4" ht="14.25" customHeight="1"/>
    <row r="2" spans="2:4" ht="14.25" customHeight="1">
      <c r="B2" s="56" t="s">
        <v>96</v>
      </c>
      <c r="C2" s="24"/>
      <c r="D2" s="24"/>
    </row>
    <row r="3" spans="2:4" ht="14.25" customHeight="1"/>
    <row r="4" spans="2:4" ht="14.25" customHeight="1">
      <c r="B4" s="58" t="s">
        <v>97</v>
      </c>
    </row>
    <row r="5" spans="2:4" ht="14.25" customHeight="1">
      <c r="B5" s="28" t="s">
        <v>98</v>
      </c>
      <c r="D5" s="71">
        <v>2668.9</v>
      </c>
    </row>
    <row r="6" spans="2:4" ht="14.25" customHeight="1">
      <c r="B6" s="28" t="s">
        <v>99</v>
      </c>
      <c r="D6" s="28">
        <v>31.5</v>
      </c>
    </row>
    <row r="7" spans="2:4" ht="14.25" customHeight="1"/>
    <row r="8" spans="2:4" ht="14.25" customHeight="1">
      <c r="B8" s="28" t="s">
        <v>100</v>
      </c>
      <c r="D8">
        <f>D5*D6</f>
        <v>84070.35</v>
      </c>
    </row>
    <row r="9" spans="2:4" ht="14.25" customHeight="1">
      <c r="B9" s="58" t="s">
        <v>101</v>
      </c>
      <c r="D9" s="58">
        <v>0</v>
      </c>
    </row>
    <row r="10" spans="2:4" ht="14.25" customHeight="1"/>
    <row r="11" spans="2:4" ht="14.25" customHeight="1">
      <c r="B11" s="28" t="s">
        <v>102</v>
      </c>
      <c r="D11">
        <f>D8+D9</f>
        <v>84070.35</v>
      </c>
    </row>
    <row r="12" spans="2:4" ht="14.25" customHeight="1">
      <c r="C12" s="1" t="s">
        <v>103</v>
      </c>
      <c r="D12" s="1"/>
    </row>
    <row r="13" spans="2:4" ht="14.25" customHeight="1">
      <c r="C13" s="28" t="s">
        <v>104</v>
      </c>
      <c r="D13" s="28" t="s">
        <v>105</v>
      </c>
    </row>
    <row r="14" spans="2:4" ht="14.25" customHeight="1">
      <c r="C14">
        <f>D9/D11</f>
        <v>0</v>
      </c>
      <c r="D14">
        <f>D8/D11</f>
        <v>1</v>
      </c>
    </row>
    <row r="15" spans="2:4" ht="14.25" customHeight="1">
      <c r="B15" s="28" t="s">
        <v>106</v>
      </c>
      <c r="D15">
        <v>0</v>
      </c>
    </row>
    <row r="16" spans="2:4" ht="14.25" customHeight="1">
      <c r="B16" s="28" t="s">
        <v>107</v>
      </c>
      <c r="D16">
        <v>0.6</v>
      </c>
    </row>
    <row r="17" spans="2:5" ht="14.25" customHeight="1">
      <c r="B17" s="28" t="s">
        <v>108</v>
      </c>
      <c r="D17">
        <f>D16*(1+(1-D21)*D15)</f>
        <v>0.6</v>
      </c>
    </row>
    <row r="18" spans="2:5" ht="14.25" customHeight="1"/>
    <row r="19" spans="2:5" ht="14.25" customHeight="1">
      <c r="B19" s="28" t="s">
        <v>109</v>
      </c>
    </row>
    <row r="20" spans="2:5" ht="14.25" customHeight="1">
      <c r="B20" s="28" t="s">
        <v>110</v>
      </c>
      <c r="D20" s="60">
        <v>0.115</v>
      </c>
    </row>
    <row r="21" spans="2:5" ht="14.25" customHeight="1">
      <c r="B21" s="28" t="s">
        <v>111</v>
      </c>
      <c r="D21" s="19">
        <v>0.22500000000000001</v>
      </c>
    </row>
    <row r="22" spans="2:5" ht="14.25" customHeight="1">
      <c r="B22" s="28" t="s">
        <v>112</v>
      </c>
      <c r="D22" s="19">
        <f>D20*(1-D21)</f>
        <v>8.912500000000001E-2</v>
      </c>
    </row>
    <row r="23" spans="2:5" ht="14.25" customHeight="1">
      <c r="B23" s="28" t="s">
        <v>113</v>
      </c>
      <c r="D23" s="72">
        <v>7.0000000000000007E-2</v>
      </c>
    </row>
    <row r="24" spans="2:5" ht="14.25" customHeight="1">
      <c r="B24" s="28" t="s">
        <v>114</v>
      </c>
      <c r="D24" s="19">
        <v>8.5400000000000004E-2</v>
      </c>
    </row>
    <row r="25" spans="2:5" ht="14.25" customHeight="1">
      <c r="B25" s="28" t="s">
        <v>115</v>
      </c>
      <c r="D25" s="19">
        <f>D24+(D17*D23)</f>
        <v>0.12740000000000001</v>
      </c>
    </row>
    <row r="26" spans="2:5" ht="14.25" customHeight="1"/>
    <row r="27" spans="2:5" ht="14.25" customHeight="1">
      <c r="B27" s="24" t="s">
        <v>116</v>
      </c>
      <c r="C27" s="24"/>
      <c r="D27" s="73">
        <f>C14*D22+D14*D25</f>
        <v>0.12740000000000001</v>
      </c>
      <c r="E27" s="74"/>
    </row>
    <row r="28" spans="2:5" ht="14.25" customHeight="1"/>
    <row r="29" spans="2:5" ht="14.25" customHeight="1"/>
    <row r="30" spans="2:5" ht="14.25" customHeight="1"/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2:D12"/>
  </mergeCell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G1000"/>
  <sheetViews>
    <sheetView zoomScaleNormal="100" workbookViewId="0">
      <pane ySplit="1" topLeftCell="A2" activePane="bottomLeft" state="frozen"/>
      <selection pane="bottomLeft" activeCell="K22" sqref="K22"/>
    </sheetView>
  </sheetViews>
  <sheetFormatPr defaultColWidth="14.453125" defaultRowHeight="15" customHeight="1"/>
  <cols>
    <col min="1" max="26" width="29" customWidth="1"/>
  </cols>
  <sheetData>
    <row r="1" spans="1:7" ht="31.5" customHeight="1">
      <c r="A1" s="75" t="s">
        <v>117</v>
      </c>
      <c r="B1" s="75" t="s">
        <v>118</v>
      </c>
      <c r="C1" s="75" t="s">
        <v>119</v>
      </c>
      <c r="D1" s="75" t="s">
        <v>120</v>
      </c>
      <c r="E1" s="75" t="s">
        <v>121</v>
      </c>
      <c r="F1" s="75" t="s">
        <v>122</v>
      </c>
      <c r="G1" s="75" t="s">
        <v>123</v>
      </c>
    </row>
    <row r="2" spans="1:7" ht="14.25" customHeight="1">
      <c r="A2" s="76" t="s">
        <v>124</v>
      </c>
      <c r="B2" s="76" t="s">
        <v>125</v>
      </c>
      <c r="C2" s="76" t="s">
        <v>126</v>
      </c>
      <c r="D2" s="23" t="s">
        <v>33</v>
      </c>
      <c r="E2" s="77">
        <v>46318</v>
      </c>
      <c r="F2" s="76" t="s">
        <v>127</v>
      </c>
      <c r="G2" s="76" t="s">
        <v>128</v>
      </c>
    </row>
    <row r="3" spans="1:7" ht="14.25" customHeight="1">
      <c r="A3" s="22" t="s">
        <v>124</v>
      </c>
      <c r="B3" s="22" t="s">
        <v>129</v>
      </c>
      <c r="C3" s="22" t="s">
        <v>126</v>
      </c>
      <c r="D3" s="23" t="s">
        <v>33</v>
      </c>
      <c r="E3" s="78">
        <v>46318</v>
      </c>
      <c r="F3" s="22" t="s">
        <v>127</v>
      </c>
      <c r="G3" s="22" t="s">
        <v>130</v>
      </c>
    </row>
    <row r="4" spans="1:7" ht="14.25" customHeight="1">
      <c r="A4" s="76" t="s">
        <v>124</v>
      </c>
      <c r="B4" s="76" t="s">
        <v>131</v>
      </c>
      <c r="C4" s="76" t="s">
        <v>126</v>
      </c>
      <c r="D4" s="23" t="s">
        <v>33</v>
      </c>
      <c r="E4" s="77">
        <v>46318</v>
      </c>
      <c r="F4" s="76" t="s">
        <v>127</v>
      </c>
      <c r="G4" s="76" t="s">
        <v>132</v>
      </c>
    </row>
    <row r="5" spans="1:7" ht="14.25" customHeight="1">
      <c r="A5" s="22" t="s">
        <v>133</v>
      </c>
      <c r="B5" s="22" t="s">
        <v>134</v>
      </c>
      <c r="C5" s="22" t="s">
        <v>135</v>
      </c>
      <c r="D5" s="23" t="s">
        <v>35</v>
      </c>
      <c r="E5" s="78">
        <v>46318</v>
      </c>
      <c r="F5" s="22" t="s">
        <v>136</v>
      </c>
      <c r="G5" s="22" t="s">
        <v>137</v>
      </c>
    </row>
    <row r="6" spans="1:7" ht="14.25" customHeight="1">
      <c r="A6" s="76" t="s">
        <v>138</v>
      </c>
      <c r="B6" s="76" t="s">
        <v>139</v>
      </c>
      <c r="C6" s="76" t="s">
        <v>135</v>
      </c>
      <c r="D6" s="23" t="s">
        <v>35</v>
      </c>
      <c r="E6" s="77">
        <v>46318</v>
      </c>
      <c r="F6" s="76" t="s">
        <v>140</v>
      </c>
      <c r="G6" s="76" t="s">
        <v>141</v>
      </c>
    </row>
    <row r="7" spans="1:7" ht="14.25" customHeight="1">
      <c r="A7" s="22" t="s">
        <v>142</v>
      </c>
      <c r="B7" s="22" t="s">
        <v>143</v>
      </c>
      <c r="C7" s="22" t="s">
        <v>144</v>
      </c>
      <c r="D7" s="23" t="s">
        <v>145</v>
      </c>
      <c r="E7" s="78">
        <v>46318</v>
      </c>
      <c r="F7" s="22" t="s">
        <v>146</v>
      </c>
      <c r="G7" s="22" t="s">
        <v>147</v>
      </c>
    </row>
    <row r="8" spans="1:7" ht="14.25" customHeight="1">
      <c r="A8" s="76" t="s">
        <v>17</v>
      </c>
      <c r="B8" s="76" t="s">
        <v>148</v>
      </c>
      <c r="C8" s="76" t="s">
        <v>149</v>
      </c>
      <c r="D8" s="76"/>
      <c r="E8" s="77">
        <v>46318</v>
      </c>
      <c r="F8" s="76" t="s">
        <v>150</v>
      </c>
      <c r="G8" s="76" t="s">
        <v>151</v>
      </c>
    </row>
    <row r="9" spans="1:7" ht="14.25" customHeight="1">
      <c r="A9" s="22" t="s">
        <v>18</v>
      </c>
      <c r="B9" s="22" t="s">
        <v>152</v>
      </c>
      <c r="C9" s="22" t="s">
        <v>149</v>
      </c>
      <c r="D9" s="22"/>
      <c r="E9" s="78">
        <v>46318</v>
      </c>
      <c r="F9" s="22" t="s">
        <v>153</v>
      </c>
      <c r="G9" s="22" t="s">
        <v>154</v>
      </c>
    </row>
    <row r="10" spans="1:7" ht="14.25" customHeight="1">
      <c r="A10" s="76" t="s">
        <v>155</v>
      </c>
      <c r="B10" s="76" t="s">
        <v>156</v>
      </c>
      <c r="C10" s="76" t="s">
        <v>149</v>
      </c>
      <c r="D10" s="76"/>
      <c r="E10" s="77">
        <v>46318</v>
      </c>
      <c r="F10" s="76" t="s">
        <v>157</v>
      </c>
      <c r="G10" s="76" t="s">
        <v>158</v>
      </c>
    </row>
    <row r="11" spans="1:7" ht="14.25" customHeight="1">
      <c r="A11" s="22" t="s">
        <v>20</v>
      </c>
      <c r="B11" s="22" t="s">
        <v>159</v>
      </c>
      <c r="C11" s="22" t="s">
        <v>149</v>
      </c>
      <c r="D11" s="22"/>
      <c r="E11" s="78">
        <v>46318</v>
      </c>
      <c r="F11" s="22" t="s">
        <v>160</v>
      </c>
      <c r="G11" s="22" t="s">
        <v>161</v>
      </c>
    </row>
    <row r="12" spans="1:7" ht="14.25" customHeight="1">
      <c r="A12" s="76" t="s">
        <v>21</v>
      </c>
      <c r="B12" s="76" t="s">
        <v>162</v>
      </c>
      <c r="C12" s="76" t="s">
        <v>163</v>
      </c>
      <c r="D12" s="76"/>
      <c r="E12" s="77">
        <v>46318</v>
      </c>
      <c r="F12" s="76" t="s">
        <v>164</v>
      </c>
      <c r="G12" s="76" t="s">
        <v>165</v>
      </c>
    </row>
    <row r="13" spans="1:7" ht="14.25" customHeight="1">
      <c r="A13" s="22" t="s">
        <v>166</v>
      </c>
      <c r="B13" s="22" t="s">
        <v>23</v>
      </c>
      <c r="C13" s="22" t="s">
        <v>167</v>
      </c>
      <c r="D13" s="22"/>
      <c r="E13" s="78">
        <v>46318</v>
      </c>
      <c r="F13" s="22" t="s">
        <v>168</v>
      </c>
      <c r="G13" s="22" t="s">
        <v>169</v>
      </c>
    </row>
    <row r="14" spans="1:7" ht="14.25" customHeight="1">
      <c r="A14" s="76" t="s">
        <v>1</v>
      </c>
      <c r="B14" s="76" t="s">
        <v>170</v>
      </c>
      <c r="C14" s="76" t="s">
        <v>171</v>
      </c>
      <c r="D14" s="76"/>
      <c r="E14" s="77">
        <v>46318</v>
      </c>
      <c r="F14" s="76" t="s">
        <v>172</v>
      </c>
      <c r="G14" s="76" t="s">
        <v>173</v>
      </c>
    </row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G14" xr:uid="{00000000-0009-0000-0000-000007000000}"/>
  <hyperlinks>
    <hyperlink ref="D2" r:id="rId1" xr:uid="{00000000-0004-0000-0700-000000000000}"/>
    <hyperlink ref="D3" r:id="rId2" xr:uid="{00000000-0004-0000-0700-000001000000}"/>
    <hyperlink ref="D4" r:id="rId3" xr:uid="{00000000-0004-0000-0700-000002000000}"/>
    <hyperlink ref="D5" r:id="rId4" xr:uid="{00000000-0004-0000-0700-000003000000}"/>
    <hyperlink ref="D6" r:id="rId5" xr:uid="{00000000-0004-0000-0700-000004000000}"/>
    <hyperlink ref="D7" r:id="rId6" xr:uid="{00000000-0004-0000-0700-000005000000}"/>
  </hyperlinks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showGridLines="0" zoomScale="89" zoomScaleNormal="89" workbookViewId="0">
      <selection activeCell="A16" sqref="A16"/>
    </sheetView>
  </sheetViews>
  <sheetFormatPr defaultColWidth="14.453125" defaultRowHeight="15" customHeight="1"/>
  <cols>
    <col min="1" max="1" width="8.81640625" customWidth="1"/>
    <col min="2" max="2" width="69.453125" customWidth="1"/>
    <col min="3" max="3" width="21.54296875" customWidth="1"/>
    <col min="4" max="6" width="15.453125" customWidth="1"/>
    <col min="7" max="7" width="8.81640625" customWidth="1"/>
    <col min="8" max="8" width="26.453125" customWidth="1"/>
    <col min="9" max="9" width="17.26953125" customWidth="1"/>
    <col min="10" max="10" width="13.81640625" customWidth="1"/>
    <col min="11" max="11" width="15.453125" customWidth="1"/>
    <col min="12" max="26" width="8.81640625" customWidth="1"/>
  </cols>
  <sheetData>
    <row r="1" spans="2:5" ht="14.25" customHeight="1"/>
    <row r="2" spans="2:5" ht="14.25" customHeight="1">
      <c r="B2" s="79" t="s">
        <v>174</v>
      </c>
      <c r="C2" s="80"/>
      <c r="D2" s="80"/>
      <c r="E2" s="80"/>
    </row>
    <row r="3" spans="2:5" ht="14.25" customHeight="1">
      <c r="C3" s="48">
        <v>45382</v>
      </c>
      <c r="D3" s="48">
        <v>45747</v>
      </c>
      <c r="E3" s="48">
        <v>46112</v>
      </c>
    </row>
    <row r="4" spans="2:5" ht="14.25" customHeight="1">
      <c r="B4" s="28" t="s">
        <v>175</v>
      </c>
    </row>
    <row r="5" spans="2:5" ht="14.25" customHeight="1">
      <c r="B5" s="28" t="s">
        <v>176</v>
      </c>
      <c r="C5" s="44">
        <v>14524</v>
      </c>
      <c r="D5" s="44">
        <v>16309</v>
      </c>
      <c r="E5" s="44">
        <v>20712</v>
      </c>
    </row>
    <row r="6" spans="2:5" ht="14.25" customHeight="1">
      <c r="B6" s="28" t="s">
        <v>177</v>
      </c>
    </row>
    <row r="7" spans="2:5" ht="14.25" customHeight="1">
      <c r="B7" s="28" t="s">
        <v>39</v>
      </c>
      <c r="C7" s="44">
        <v>6099</v>
      </c>
      <c r="D7" s="44">
        <v>6598</v>
      </c>
      <c r="E7" s="44">
        <v>10477</v>
      </c>
    </row>
    <row r="8" spans="2:5" ht="14.25" customHeight="1">
      <c r="B8" s="28" t="s">
        <v>178</v>
      </c>
      <c r="C8" s="44">
        <v>2314</v>
      </c>
      <c r="D8" s="44">
        <v>2667</v>
      </c>
      <c r="E8" s="44">
        <v>2617</v>
      </c>
    </row>
    <row r="9" spans="2:5" ht="14.25" customHeight="1">
      <c r="B9" s="28" t="s">
        <v>45</v>
      </c>
      <c r="C9" s="44">
        <v>272</v>
      </c>
      <c r="D9" s="44">
        <v>275</v>
      </c>
      <c r="E9" s="44">
        <v>262</v>
      </c>
    </row>
    <row r="10" spans="2:5" ht="14.25" customHeight="1">
      <c r="B10" s="28" t="s">
        <v>179</v>
      </c>
      <c r="C10" s="28">
        <v>0</v>
      </c>
      <c r="D10" s="28">
        <v>0</v>
      </c>
      <c r="E10" s="28">
        <v>0</v>
      </c>
    </row>
    <row r="11" spans="2:5" ht="14.25" customHeight="1">
      <c r="B11" s="28" t="s">
        <v>180</v>
      </c>
      <c r="C11" s="44"/>
      <c r="D11" s="44"/>
      <c r="E11" s="44"/>
    </row>
    <row r="12" spans="2:5" ht="14.25" customHeight="1">
      <c r="B12" s="28" t="s">
        <v>181</v>
      </c>
      <c r="C12" s="44">
        <v>40</v>
      </c>
      <c r="D12" s="44">
        <v>53</v>
      </c>
      <c r="E12" s="44">
        <v>390</v>
      </c>
    </row>
    <row r="13" spans="2:5" ht="14.25" customHeight="1">
      <c r="B13" s="28" t="s">
        <v>182</v>
      </c>
      <c r="C13" s="44">
        <v>-566</v>
      </c>
      <c r="D13" s="44">
        <v>-94</v>
      </c>
      <c r="E13" s="44">
        <v>-303</v>
      </c>
    </row>
    <row r="14" spans="2:5" ht="14.25" customHeight="1">
      <c r="B14" s="28" t="s">
        <v>183</v>
      </c>
      <c r="C14" s="44">
        <v>580</v>
      </c>
      <c r="D14" s="44">
        <v>969</v>
      </c>
      <c r="E14" s="44">
        <v>296</v>
      </c>
    </row>
    <row r="15" spans="2:5" ht="14.25" customHeight="1">
      <c r="B15" s="28" t="s">
        <v>184</v>
      </c>
      <c r="C15" s="44">
        <v>5857</v>
      </c>
      <c r="D15" s="44">
        <v>7572</v>
      </c>
      <c r="E15" s="44">
        <v>7601</v>
      </c>
    </row>
    <row r="16" spans="2:5" ht="14.25" customHeight="1">
      <c r="B16" s="28" t="s">
        <v>185</v>
      </c>
      <c r="C16" s="44">
        <v>1250</v>
      </c>
      <c r="D16" s="44">
        <v>1666</v>
      </c>
      <c r="E16" s="44">
        <v>1109</v>
      </c>
    </row>
    <row r="17" spans="1:6" ht="14.25" customHeight="1">
      <c r="B17" s="28" t="s">
        <v>186</v>
      </c>
      <c r="C17" s="44"/>
      <c r="D17" s="44"/>
      <c r="E17" s="44"/>
    </row>
    <row r="18" spans="1:6" ht="14.25" customHeight="1">
      <c r="C18" s="44">
        <v>4606</v>
      </c>
      <c r="D18" s="44">
        <v>5906</v>
      </c>
      <c r="E18" s="44">
        <v>6492</v>
      </c>
    </row>
    <row r="19" spans="1:6" ht="14.25" customHeight="1">
      <c r="A19" s="81"/>
      <c r="B19" s="30" t="s">
        <v>187</v>
      </c>
      <c r="C19" s="44">
        <v>31.5</v>
      </c>
      <c r="D19" s="44">
        <v>31.5</v>
      </c>
      <c r="E19" s="44">
        <v>31.5</v>
      </c>
    </row>
    <row r="20" spans="1:6" ht="14.25" customHeight="1"/>
    <row r="21" spans="1:6" ht="14.25" customHeight="1"/>
    <row r="22" spans="1:6" ht="14.25" customHeight="1"/>
    <row r="23" spans="1:6" ht="14.25" customHeight="1">
      <c r="B23" s="49"/>
    </row>
    <row r="24" spans="1:6" ht="14.25" customHeight="1">
      <c r="D24" s="44"/>
      <c r="E24" s="44"/>
      <c r="F24" s="44"/>
    </row>
    <row r="25" spans="1:6" ht="14.25" customHeight="1">
      <c r="D25" s="44"/>
      <c r="E25" s="44"/>
      <c r="F25" s="44"/>
    </row>
    <row r="26" spans="1:6" ht="14.25" customHeight="1">
      <c r="D26" s="44"/>
      <c r="E26" s="44"/>
      <c r="F26" s="44"/>
    </row>
    <row r="27" spans="1:6" ht="14.25" customHeight="1">
      <c r="D27" s="44"/>
      <c r="E27" s="44"/>
      <c r="F27" s="44"/>
    </row>
    <row r="28" spans="1:6" ht="14.25" customHeight="1">
      <c r="D28" s="44"/>
      <c r="E28" s="44"/>
      <c r="F28" s="44"/>
    </row>
    <row r="29" spans="1:6" ht="14.25" customHeight="1">
      <c r="F29" s="44"/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1000"/>
  <sheetViews>
    <sheetView showGridLines="0" zoomScale="53" zoomScaleNormal="53" workbookViewId="0">
      <selection activeCell="I21" sqref="I21"/>
    </sheetView>
  </sheetViews>
  <sheetFormatPr defaultColWidth="14.453125" defaultRowHeight="15" customHeight="1"/>
  <cols>
    <col min="1" max="1" width="1.81640625" customWidth="1"/>
    <col min="2" max="2" width="104.81640625" customWidth="1"/>
    <col min="3" max="3" width="11.81640625" style="10" customWidth="1"/>
    <col min="4" max="5" width="11.81640625" customWidth="1"/>
    <col min="6" max="6" width="11.54296875" customWidth="1"/>
    <col min="7" max="8" width="8.81640625" customWidth="1"/>
    <col min="9" max="9" width="29.36328125" customWidth="1"/>
    <col min="10" max="10" width="33.36328125" customWidth="1"/>
    <col min="11" max="11" width="14.7265625" customWidth="1"/>
    <col min="12" max="12" width="22.1796875" customWidth="1"/>
    <col min="13" max="13" width="16.36328125" customWidth="1"/>
    <col min="14" max="14" width="18.08984375" customWidth="1"/>
    <col min="15" max="24" width="8.81640625" customWidth="1"/>
  </cols>
  <sheetData>
    <row r="1" spans="2:7" ht="14.25" customHeight="1"/>
    <row r="2" spans="2:7" ht="14.25" customHeight="1">
      <c r="B2" s="82" t="s">
        <v>188</v>
      </c>
      <c r="C2" s="83">
        <v>45016</v>
      </c>
      <c r="D2" s="84">
        <v>45382</v>
      </c>
      <c r="E2" s="84">
        <v>45747</v>
      </c>
      <c r="F2" s="84">
        <v>46112</v>
      </c>
    </row>
    <row r="3" spans="2:7" ht="14.25" customHeight="1">
      <c r="B3" s="85" t="s">
        <v>189</v>
      </c>
      <c r="C3" s="86"/>
      <c r="D3" s="85"/>
      <c r="E3" s="85"/>
      <c r="F3" s="85"/>
    </row>
    <row r="4" spans="2:7" ht="14.25" customHeight="1">
      <c r="B4" s="85" t="s">
        <v>190</v>
      </c>
      <c r="C4" s="86">
        <v>2228.81</v>
      </c>
      <c r="D4" s="86">
        <v>1887.13</v>
      </c>
      <c r="E4" s="86">
        <v>3092.22</v>
      </c>
      <c r="F4" s="86">
        <v>1574.94</v>
      </c>
    </row>
    <row r="5" spans="2:7" ht="14.25" customHeight="1">
      <c r="B5" s="87" t="s">
        <v>191</v>
      </c>
      <c r="C5" s="86">
        <v>4184.3900000000003</v>
      </c>
      <c r="D5" s="86">
        <v>9018.7099999999991</v>
      </c>
      <c r="E5" s="86">
        <v>5138.33</v>
      </c>
      <c r="F5" s="86">
        <v>963.9</v>
      </c>
    </row>
    <row r="6" spans="2:7" ht="14.25" customHeight="1">
      <c r="B6" s="85" t="s">
        <v>192</v>
      </c>
      <c r="C6" s="86">
        <v>1028.6199999999999</v>
      </c>
      <c r="D6" s="86">
        <v>756.71</v>
      </c>
      <c r="E6" s="86">
        <v>962.31</v>
      </c>
      <c r="F6" s="86">
        <v>560.37</v>
      </c>
    </row>
    <row r="7" spans="2:7" ht="14.25" customHeight="1">
      <c r="B7" s="85" t="s">
        <v>193</v>
      </c>
      <c r="C7" s="86">
        <v>2528.5500000000002</v>
      </c>
      <c r="D7" s="86">
        <v>3351.47</v>
      </c>
      <c r="E7" s="86">
        <v>2950.6</v>
      </c>
      <c r="F7" s="86">
        <v>3531.3</v>
      </c>
    </row>
    <row r="8" spans="2:7" ht="14.25" customHeight="1">
      <c r="B8" s="85" t="s">
        <v>194</v>
      </c>
      <c r="C8" s="86">
        <v>0</v>
      </c>
      <c r="D8" s="86">
        <v>0</v>
      </c>
      <c r="E8" s="86">
        <v>0</v>
      </c>
      <c r="F8" s="86">
        <v>0</v>
      </c>
    </row>
    <row r="9" spans="2:7" ht="14.25" customHeight="1">
      <c r="B9" s="85" t="s">
        <v>195</v>
      </c>
      <c r="C9" s="86">
        <v>9977.4599999999991</v>
      </c>
      <c r="D9" s="86">
        <v>15021.38</v>
      </c>
      <c r="E9" s="86">
        <v>12152.87</v>
      </c>
      <c r="F9" s="86">
        <v>6636.96</v>
      </c>
    </row>
    <row r="10" spans="2:7" ht="14.25" customHeight="1">
      <c r="B10" s="85" t="s">
        <v>196</v>
      </c>
      <c r="C10" s="86"/>
      <c r="D10" s="88"/>
      <c r="E10" s="88"/>
      <c r="F10" s="88"/>
    </row>
    <row r="11" spans="2:7" ht="14.25" customHeight="1">
      <c r="B11" s="85" t="s">
        <v>197</v>
      </c>
      <c r="C11" s="86">
        <v>1304.5899999999999</v>
      </c>
      <c r="D11" s="86">
        <v>1414.65</v>
      </c>
      <c r="E11" s="86">
        <v>1339.74</v>
      </c>
      <c r="F11" s="86">
        <v>1346.54</v>
      </c>
    </row>
    <row r="12" spans="2:7" ht="14.25" customHeight="1">
      <c r="B12" s="85" t="s">
        <v>198</v>
      </c>
      <c r="C12" s="86">
        <v>266.91000000000003</v>
      </c>
      <c r="D12" s="86">
        <v>345.91</v>
      </c>
      <c r="E12" s="86">
        <v>311.44</v>
      </c>
      <c r="F12" s="86">
        <v>304.89999999999998</v>
      </c>
    </row>
    <row r="13" spans="2:7" ht="14.25" customHeight="1">
      <c r="B13" s="85" t="s">
        <v>199</v>
      </c>
      <c r="C13" s="86">
        <v>94.1</v>
      </c>
      <c r="D13" s="86">
        <v>94.37</v>
      </c>
      <c r="E13" s="86">
        <v>96.42</v>
      </c>
      <c r="F13" s="86">
        <v>93.46</v>
      </c>
      <c r="G13" s="49"/>
    </row>
    <row r="14" spans="2:7" ht="14.25" customHeight="1">
      <c r="B14" s="89" t="s">
        <v>200</v>
      </c>
      <c r="C14" s="90">
        <v>11635.97</v>
      </c>
      <c r="D14" s="90">
        <v>16906.82</v>
      </c>
      <c r="E14" s="90">
        <v>13840.39</v>
      </c>
      <c r="F14" s="90">
        <v>8349.2800000000007</v>
      </c>
    </row>
    <row r="15" spans="2:7" ht="14.25" customHeight="1">
      <c r="B15" s="91" t="s">
        <v>201</v>
      </c>
      <c r="C15" s="92"/>
      <c r="D15" s="93"/>
      <c r="E15" s="93"/>
      <c r="F15" s="93"/>
    </row>
    <row r="16" spans="2:7" ht="14.25" customHeight="1">
      <c r="B16" s="85" t="s">
        <v>202</v>
      </c>
      <c r="C16" s="86">
        <v>7106.38</v>
      </c>
      <c r="D16" s="86">
        <v>7168.2</v>
      </c>
      <c r="E16" s="86">
        <v>4897.45</v>
      </c>
      <c r="F16" s="86">
        <v>4415.03</v>
      </c>
    </row>
    <row r="17" spans="2:7" ht="14.25" customHeight="1">
      <c r="B17" s="85" t="s">
        <v>203</v>
      </c>
      <c r="C17" s="86">
        <v>25.89</v>
      </c>
      <c r="D17" s="86">
        <v>21.62</v>
      </c>
      <c r="E17" s="86">
        <v>48.56</v>
      </c>
      <c r="F17" s="86">
        <v>91.28</v>
      </c>
    </row>
    <row r="18" spans="2:7" ht="14.25" customHeight="1">
      <c r="B18" s="94" t="s">
        <v>204</v>
      </c>
      <c r="C18" s="86">
        <v>786.99</v>
      </c>
      <c r="D18" s="86">
        <v>842.44</v>
      </c>
      <c r="E18" s="86">
        <v>1099.32</v>
      </c>
      <c r="F18" s="86">
        <v>736.1</v>
      </c>
    </row>
    <row r="19" spans="2:7" ht="14.25" customHeight="1">
      <c r="B19" s="94" t="s">
        <v>205</v>
      </c>
      <c r="C19" s="86">
        <v>0</v>
      </c>
      <c r="D19" s="86">
        <v>450</v>
      </c>
      <c r="E19" s="86">
        <v>0</v>
      </c>
      <c r="F19" s="86">
        <v>0</v>
      </c>
    </row>
    <row r="20" spans="2:7" ht="13.5" customHeight="1">
      <c r="B20" s="85" t="s">
        <v>206</v>
      </c>
      <c r="C20" s="86">
        <v>0</v>
      </c>
      <c r="D20" s="86">
        <v>0</v>
      </c>
      <c r="E20" s="86">
        <v>0</v>
      </c>
      <c r="F20" s="86">
        <v>0</v>
      </c>
    </row>
    <row r="21" spans="2:7" ht="14.25" customHeight="1">
      <c r="B21" s="87" t="s">
        <v>207</v>
      </c>
      <c r="C21" s="86">
        <v>57.31</v>
      </c>
      <c r="D21" s="86">
        <v>38.869999999999997</v>
      </c>
      <c r="E21" s="86">
        <v>58.51</v>
      </c>
      <c r="F21" s="86">
        <v>59.76</v>
      </c>
    </row>
    <row r="22" spans="2:7" ht="14.25" customHeight="1">
      <c r="B22" s="85" t="s">
        <v>208</v>
      </c>
      <c r="C22" s="86">
        <v>7976.57</v>
      </c>
      <c r="D22" s="86">
        <v>8521.1299999999992</v>
      </c>
      <c r="E22" s="86">
        <v>6103.84</v>
      </c>
      <c r="F22" s="86">
        <v>5302.17</v>
      </c>
    </row>
    <row r="23" spans="2:7" ht="14.25" customHeight="1">
      <c r="B23" s="85" t="s">
        <v>209</v>
      </c>
      <c r="C23" s="86"/>
      <c r="D23" s="88"/>
      <c r="E23" s="88"/>
      <c r="F23" s="88"/>
    </row>
    <row r="24" spans="2:7" ht="14.25" customHeight="1">
      <c r="B24" s="85" t="s">
        <v>210</v>
      </c>
      <c r="C24" s="86">
        <v>0</v>
      </c>
      <c r="D24" s="86">
        <v>0</v>
      </c>
      <c r="E24" s="86">
        <v>0</v>
      </c>
      <c r="F24" s="86">
        <v>0</v>
      </c>
    </row>
    <row r="25" spans="2:7" ht="14.25" customHeight="1">
      <c r="B25" s="85" t="s">
        <v>211</v>
      </c>
      <c r="C25" s="86">
        <v>46.4</v>
      </c>
      <c r="D25" s="86">
        <v>151.87</v>
      </c>
      <c r="E25" s="86">
        <v>116.31</v>
      </c>
      <c r="F25" s="86">
        <v>89.49</v>
      </c>
    </row>
    <row r="26" spans="2:7" ht="14.25" customHeight="1">
      <c r="B26" s="85" t="s">
        <v>212</v>
      </c>
      <c r="C26" s="86">
        <v>26.68</v>
      </c>
      <c r="D26" s="86">
        <v>23.74</v>
      </c>
      <c r="E26" s="86">
        <v>87.58</v>
      </c>
      <c r="F26" s="86">
        <v>58.9</v>
      </c>
    </row>
    <row r="27" spans="2:7" ht="14.25" customHeight="1">
      <c r="B27" s="95" t="s">
        <v>213</v>
      </c>
      <c r="C27" s="96">
        <v>8049.65</v>
      </c>
      <c r="D27" s="96">
        <v>8696.74</v>
      </c>
      <c r="E27" s="96">
        <v>6307.73</v>
      </c>
      <c r="F27" s="96">
        <v>5450.56</v>
      </c>
    </row>
    <row r="28" spans="2:7" ht="14.25" customHeight="1">
      <c r="B28" s="97" t="s">
        <v>214</v>
      </c>
      <c r="C28" s="98"/>
      <c r="D28" s="99"/>
      <c r="E28" s="99"/>
      <c r="F28" s="99"/>
    </row>
    <row r="29" spans="2:7" ht="14.25" customHeight="1">
      <c r="B29" s="85" t="s">
        <v>215</v>
      </c>
      <c r="C29" s="86">
        <v>0</v>
      </c>
      <c r="D29" s="88">
        <v>0</v>
      </c>
      <c r="E29" s="88">
        <v>0</v>
      </c>
      <c r="F29" s="88">
        <v>0</v>
      </c>
    </row>
    <row r="30" spans="2:7" ht="14.25" customHeight="1">
      <c r="B30" s="94" t="s">
        <v>216</v>
      </c>
      <c r="C30" s="86">
        <v>315</v>
      </c>
      <c r="D30" s="88">
        <v>315</v>
      </c>
      <c r="E30" s="88">
        <v>315</v>
      </c>
      <c r="F30" s="88">
        <v>315</v>
      </c>
    </row>
    <row r="31" spans="2:7" ht="14.25" customHeight="1">
      <c r="B31" s="94" t="s">
        <v>217</v>
      </c>
      <c r="C31" s="86">
        <v>252</v>
      </c>
      <c r="D31" s="88">
        <v>252</v>
      </c>
      <c r="E31" s="88">
        <v>252</v>
      </c>
      <c r="F31" s="88">
        <v>252</v>
      </c>
      <c r="G31" s="100"/>
    </row>
    <row r="32" spans="2:7" ht="14.25" customHeight="1">
      <c r="B32" s="85" t="s">
        <v>218</v>
      </c>
      <c r="C32" s="86">
        <v>0</v>
      </c>
      <c r="D32" s="88">
        <v>0</v>
      </c>
      <c r="E32" s="88">
        <v>0</v>
      </c>
      <c r="F32" s="88">
        <v>0</v>
      </c>
    </row>
    <row r="33" spans="2:6" ht="14.25" customHeight="1">
      <c r="B33" s="85" t="s">
        <v>219</v>
      </c>
      <c r="C33" s="86">
        <v>3019.32</v>
      </c>
      <c r="D33" s="86">
        <v>7643.07</v>
      </c>
      <c r="E33" s="86">
        <v>6965.65</v>
      </c>
      <c r="F33" s="86">
        <v>2331.71</v>
      </c>
    </row>
    <row r="34" spans="2:6" ht="14.25" customHeight="1">
      <c r="B34" s="85" t="s">
        <v>220</v>
      </c>
      <c r="C34" s="86">
        <v>3586.32</v>
      </c>
      <c r="D34" s="88">
        <v>8210.07</v>
      </c>
      <c r="E34" s="88">
        <v>7532.65</v>
      </c>
      <c r="F34" s="88">
        <v>2898.71</v>
      </c>
    </row>
    <row r="35" spans="2:6" ht="14.25" customHeight="1">
      <c r="B35" s="85" t="s">
        <v>221</v>
      </c>
      <c r="C35" s="86">
        <v>0</v>
      </c>
      <c r="D35" s="88">
        <v>0</v>
      </c>
      <c r="E35" s="88">
        <v>0</v>
      </c>
      <c r="F35" s="88">
        <v>0</v>
      </c>
    </row>
    <row r="36" spans="2:6" ht="14.25" customHeight="1">
      <c r="B36" s="101" t="s">
        <v>222</v>
      </c>
      <c r="C36" s="102">
        <v>3586.32</v>
      </c>
      <c r="D36" s="103">
        <v>8210.07</v>
      </c>
      <c r="E36" s="103">
        <v>7532.65</v>
      </c>
      <c r="F36" s="103">
        <v>2898.71</v>
      </c>
    </row>
    <row r="37" spans="2:6" ht="14.25" customHeight="1">
      <c r="B37" s="89" t="s">
        <v>223</v>
      </c>
      <c r="C37" s="90">
        <v>11635.97</v>
      </c>
      <c r="D37" s="90">
        <v>16906.810000000001</v>
      </c>
      <c r="E37" s="90">
        <v>13840.38</v>
      </c>
      <c r="F37" s="90">
        <v>8349.27</v>
      </c>
    </row>
    <row r="38" spans="2:6" ht="14.25" customHeight="1">
      <c r="B38" s="85"/>
      <c r="C38" s="86"/>
      <c r="D38" s="85"/>
      <c r="E38" s="85"/>
      <c r="F38" s="85"/>
    </row>
    <row r="39" spans="2:6" ht="14.25" customHeight="1"/>
    <row r="40" spans="2:6" ht="14.25" customHeight="1"/>
    <row r="41" spans="2:6" ht="14.25" customHeight="1"/>
    <row r="42" spans="2:6" ht="14.25" customHeight="1"/>
    <row r="43" spans="2:6" ht="14.25" customHeight="1"/>
    <row r="44" spans="2:6" ht="14.25" customHeight="1"/>
    <row r="45" spans="2:6" ht="14.25" customHeight="1"/>
    <row r="46" spans="2:6" ht="14.25" customHeight="1"/>
    <row r="47" spans="2:6" ht="14.25" customHeight="1"/>
    <row r="48" spans="2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showGridLines="0" topLeftCell="A25" zoomScale="94" zoomScaleNormal="94" workbookViewId="0">
      <selection activeCell="B28" sqref="B28"/>
    </sheetView>
  </sheetViews>
  <sheetFormatPr defaultColWidth="14.453125" defaultRowHeight="15" customHeight="1"/>
  <cols>
    <col min="1" max="1" width="8.81640625" customWidth="1"/>
    <col min="2" max="2" width="101.453125" customWidth="1"/>
    <col min="3" max="5" width="15.453125" customWidth="1"/>
    <col min="6" max="6" width="13.7265625" customWidth="1"/>
    <col min="7" max="7" width="34.36328125" customWidth="1"/>
    <col min="8" max="8" width="18.7265625" customWidth="1"/>
    <col min="9" max="9" width="14.26953125" customWidth="1"/>
    <col min="10" max="10" width="13.36328125" customWidth="1"/>
    <col min="11" max="26" width="8.81640625" customWidth="1"/>
  </cols>
  <sheetData>
    <row r="1" spans="1:6" ht="14.25" customHeight="1"/>
    <row r="2" spans="1:6" ht="14.25" customHeight="1">
      <c r="A2" s="85"/>
      <c r="B2" s="104" t="s">
        <v>224</v>
      </c>
      <c r="C2" s="104"/>
      <c r="D2" s="104"/>
      <c r="E2" s="104"/>
    </row>
    <row r="3" spans="1:6" ht="14.25" customHeight="1">
      <c r="A3" s="85"/>
      <c r="B3" s="87" t="s">
        <v>225</v>
      </c>
      <c r="C3" s="105">
        <v>45382</v>
      </c>
      <c r="D3" s="105">
        <v>45747</v>
      </c>
      <c r="E3" s="105">
        <v>46112</v>
      </c>
    </row>
    <row r="4" spans="1:6" ht="20.25" customHeight="1">
      <c r="A4" s="85"/>
      <c r="B4" s="87" t="s">
        <v>226</v>
      </c>
      <c r="C4" s="106">
        <v>14520.19</v>
      </c>
      <c r="D4" s="106">
        <v>16759.27</v>
      </c>
      <c r="E4" s="106">
        <v>20216.759999999998</v>
      </c>
    </row>
    <row r="5" spans="1:6" ht="50.25" customHeight="1">
      <c r="A5" s="85"/>
      <c r="B5" s="87" t="s">
        <v>227</v>
      </c>
      <c r="C5" s="107">
        <v>7297.44</v>
      </c>
      <c r="D5" s="106">
        <v>11673.61</v>
      </c>
      <c r="E5" s="106">
        <v>13400.71</v>
      </c>
      <c r="F5" s="10"/>
    </row>
    <row r="6" spans="1:6" ht="45.75" customHeight="1">
      <c r="A6" s="85"/>
      <c r="B6" s="87" t="s">
        <v>228</v>
      </c>
      <c r="C6" s="106">
        <f>C4-C5</f>
        <v>7222.7500000000009</v>
      </c>
      <c r="D6" s="106">
        <f>D4-D5</f>
        <v>5085.66</v>
      </c>
      <c r="E6" s="106">
        <f>E4-E5</f>
        <v>6816.0499999999993</v>
      </c>
    </row>
    <row r="7" spans="1:6" ht="50.25" customHeight="1">
      <c r="A7" s="85"/>
      <c r="B7" s="87" t="s">
        <v>229</v>
      </c>
      <c r="C7" s="108">
        <v>148.66</v>
      </c>
      <c r="D7" s="106">
        <v>76.59</v>
      </c>
      <c r="E7" s="106">
        <v>0.04</v>
      </c>
    </row>
    <row r="8" spans="1:6" ht="14.25" customHeight="1">
      <c r="A8" s="85"/>
      <c r="B8" s="87" t="s">
        <v>230</v>
      </c>
      <c r="C8" s="87">
        <v>326.83</v>
      </c>
      <c r="D8" s="87">
        <v>901.07</v>
      </c>
      <c r="E8" s="87">
        <v>279.88</v>
      </c>
    </row>
    <row r="9" spans="1:6" ht="14.25" customHeight="1">
      <c r="A9" s="85"/>
      <c r="B9" s="87" t="s">
        <v>231</v>
      </c>
      <c r="C9" s="108">
        <v>1250.5999999999999</v>
      </c>
      <c r="D9" s="106">
        <v>1303.83</v>
      </c>
      <c r="E9" s="106">
        <v>1510.32</v>
      </c>
    </row>
    <row r="10" spans="1:6" ht="57" customHeight="1">
      <c r="A10" s="101"/>
      <c r="B10" s="109" t="s">
        <v>232</v>
      </c>
      <c r="C10" s="110">
        <f>C6-C7-C9+C8</f>
        <v>6150.3200000000015</v>
      </c>
      <c r="D10" s="110">
        <f>D6-D7-D9+D8</f>
        <v>4606.3099999999995</v>
      </c>
      <c r="E10" s="110">
        <f>E6-E7-E9+E8</f>
        <v>5585.57</v>
      </c>
    </row>
    <row r="11" spans="1:6" ht="14.25" customHeight="1">
      <c r="A11" s="85"/>
      <c r="B11" s="87" t="s">
        <v>233</v>
      </c>
      <c r="C11" s="106"/>
      <c r="D11" s="106"/>
      <c r="E11" s="106"/>
    </row>
    <row r="12" spans="1:6" ht="14.25" customHeight="1">
      <c r="A12" s="85"/>
      <c r="B12" s="87" t="s">
        <v>234</v>
      </c>
      <c r="C12" s="108">
        <v>-243.71</v>
      </c>
      <c r="D12" s="108">
        <v>-167.49</v>
      </c>
      <c r="E12" s="108">
        <v>-229.36</v>
      </c>
    </row>
    <row r="13" spans="1:6" ht="54" customHeight="1">
      <c r="A13" s="85"/>
      <c r="B13" s="87" t="s">
        <v>235</v>
      </c>
      <c r="C13" s="87">
        <v>0</v>
      </c>
      <c r="D13" s="87">
        <v>-7.71</v>
      </c>
      <c r="E13" s="87">
        <v>-1.28</v>
      </c>
    </row>
    <row r="14" spans="1:6" ht="24" customHeight="1">
      <c r="A14" s="85"/>
      <c r="B14" s="87" t="s">
        <v>236</v>
      </c>
      <c r="C14" s="87">
        <v>4.3</v>
      </c>
      <c r="D14" s="87">
        <v>-1.04</v>
      </c>
      <c r="E14" s="87">
        <v>-0.56000000000000005</v>
      </c>
    </row>
    <row r="15" spans="1:6" ht="42" customHeight="1">
      <c r="A15" s="85"/>
      <c r="B15" s="87" t="s">
        <v>237</v>
      </c>
      <c r="C15" s="108">
        <v>-4601.09</v>
      </c>
      <c r="D15" s="106">
        <v>3874.67</v>
      </c>
      <c r="E15" s="106">
        <v>4326.51</v>
      </c>
    </row>
    <row r="16" spans="1:6" ht="30.75" customHeight="1">
      <c r="A16" s="85"/>
      <c r="B16" s="109" t="s">
        <v>238</v>
      </c>
      <c r="C16" s="111">
        <f>C12+C13+C14+C15</f>
        <v>-4840.5</v>
      </c>
      <c r="D16" s="111">
        <f>D12+D13+D14+D15</f>
        <v>3698.4300000000003</v>
      </c>
      <c r="E16" s="111">
        <f>E12+E13+E14+E15</f>
        <v>4095.3100000000004</v>
      </c>
    </row>
    <row r="17" spans="1:6" ht="27.75" customHeight="1">
      <c r="A17" s="85"/>
      <c r="B17" s="87" t="s">
        <v>239</v>
      </c>
      <c r="C17" s="106"/>
      <c r="D17" s="106"/>
      <c r="E17" s="106"/>
      <c r="F17" s="10">
        <f>C10+C16+C21</f>
        <v>-341.66999999999848</v>
      </c>
    </row>
    <row r="18" spans="1:6" ht="27" customHeight="1">
      <c r="A18" s="85"/>
      <c r="B18" s="87" t="s">
        <v>240</v>
      </c>
      <c r="C18" s="87">
        <v>450</v>
      </c>
      <c r="D18" s="87">
        <v>-450</v>
      </c>
      <c r="E18" s="87">
        <v>0</v>
      </c>
    </row>
    <row r="19" spans="1:6" ht="54" customHeight="1">
      <c r="A19" s="85"/>
      <c r="B19" s="87" t="s">
        <v>241</v>
      </c>
      <c r="C19" s="108">
        <v>-2028.93</v>
      </c>
      <c r="D19" s="108">
        <v>-6583.5</v>
      </c>
      <c r="E19" s="108">
        <v>-11103.7</v>
      </c>
    </row>
    <row r="20" spans="1:6" ht="14.25" customHeight="1">
      <c r="A20" s="85"/>
      <c r="B20" s="87" t="s">
        <v>242</v>
      </c>
      <c r="C20" s="108">
        <v>-72.56</v>
      </c>
      <c r="D20" s="108">
        <v>-66.400000000000006</v>
      </c>
      <c r="E20" s="108">
        <v>-94.64</v>
      </c>
    </row>
    <row r="21" spans="1:6" ht="40.5" customHeight="1">
      <c r="A21" s="85"/>
      <c r="B21" s="109" t="s">
        <v>243</v>
      </c>
      <c r="C21" s="111">
        <f>SUM(C18:C20)</f>
        <v>-1651.49</v>
      </c>
      <c r="D21" s="111">
        <f>SUM(D18:D20)</f>
        <v>-7099.9</v>
      </c>
      <c r="E21" s="111">
        <f>SUM(E18:E20)</f>
        <v>-11198.34</v>
      </c>
    </row>
    <row r="22" spans="1:6" ht="50.25" customHeight="1">
      <c r="A22" s="85"/>
      <c r="B22" s="87" t="s">
        <v>244</v>
      </c>
      <c r="C22" s="108">
        <f>C10+C16+C21</f>
        <v>-341.66999999999848</v>
      </c>
      <c r="D22" s="108">
        <f>D10+D16+D21</f>
        <v>1204.8400000000001</v>
      </c>
      <c r="E22" s="108">
        <f>E10+E16+E21</f>
        <v>-1517.4599999999991</v>
      </c>
    </row>
    <row r="23" spans="1:6" ht="14.25" customHeight="1">
      <c r="A23" s="85"/>
      <c r="B23" s="87" t="s">
        <v>245</v>
      </c>
      <c r="C23" s="106">
        <v>0</v>
      </c>
      <c r="D23" s="106">
        <v>0.26</v>
      </c>
      <c r="E23" s="106">
        <v>0.19</v>
      </c>
    </row>
    <row r="24" spans="1:6" ht="39" customHeight="1">
      <c r="A24" s="85"/>
      <c r="B24" s="87" t="s">
        <v>246</v>
      </c>
      <c r="C24" s="106">
        <v>2228.81</v>
      </c>
      <c r="D24" s="106">
        <v>1887.13</v>
      </c>
      <c r="E24" s="106">
        <v>3092.22</v>
      </c>
    </row>
    <row r="25" spans="1:6" ht="14.25" customHeight="1">
      <c r="A25" s="85"/>
      <c r="B25" s="112" t="s">
        <v>247</v>
      </c>
      <c r="C25" s="113">
        <f>C24+C22+C23</f>
        <v>1887.1400000000015</v>
      </c>
      <c r="D25" s="113">
        <f>D24+D22+D23</f>
        <v>3092.2300000000005</v>
      </c>
      <c r="E25" s="113">
        <f>E24+E22+E23</f>
        <v>1574.9500000000007</v>
      </c>
    </row>
    <row r="26" spans="1:6" ht="24" customHeight="1">
      <c r="A26" s="85"/>
      <c r="B26" s="85"/>
      <c r="C26" s="85"/>
      <c r="D26" s="85"/>
      <c r="E26" s="85"/>
    </row>
    <row r="27" spans="1:6" ht="14.25" customHeight="1">
      <c r="A27" s="85"/>
      <c r="B27" s="85"/>
      <c r="C27" s="85"/>
      <c r="D27" s="85"/>
      <c r="E27" s="85"/>
    </row>
    <row r="28" spans="1:6" ht="14.25" customHeight="1">
      <c r="A28" s="85"/>
      <c r="B28" s="85"/>
      <c r="C28" s="85"/>
      <c r="D28" s="85"/>
      <c r="E28" s="85"/>
    </row>
    <row r="29" spans="1:6" ht="14.25" customHeight="1">
      <c r="A29" s="85"/>
      <c r="B29" s="85"/>
      <c r="C29" s="85"/>
      <c r="D29" s="85"/>
      <c r="E29" s="85"/>
    </row>
    <row r="30" spans="1:6" ht="14.25" customHeight="1">
      <c r="A30" s="85"/>
      <c r="B30" s="85"/>
      <c r="C30" s="85"/>
      <c r="D30" s="85"/>
      <c r="E30" s="85"/>
    </row>
    <row r="31" spans="1:6" ht="14.25" customHeight="1">
      <c r="A31" s="85"/>
      <c r="B31" s="85"/>
      <c r="C31" s="85"/>
      <c r="D31" s="85"/>
      <c r="E31" s="85"/>
    </row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Valuation Summary</vt:lpstr>
      <vt:lpstr>Free Cash Flow</vt:lpstr>
      <vt:lpstr>Fixed Assets</vt:lpstr>
      <vt:lpstr>Net Working Capital</vt:lpstr>
      <vt:lpstr>DCF</vt:lpstr>
      <vt:lpstr>WACC</vt:lpstr>
      <vt:lpstr>Data Source --&gt;</vt:lpstr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Jaden Yess</dc:creator>
  <cp:lastModifiedBy>Asrafwithouth</cp:lastModifiedBy>
  <dcterms:created xsi:type="dcterms:W3CDTF">2026-10-23T08:54:04Z</dcterms:created>
  <dcterms:modified xsi:type="dcterms:W3CDTF">2026-10-23T09:13:42Z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2022-06-25T16:24:49Z</dcterms:created>
  <dc:creator>Arnav Chaturvedi</dc:creator>
  <dc:description/>
  <dc:language>en-US</dc:language>
  <cp:lastModifiedBy>Asrafwithouth</cp:lastModifiedBy>
  <dcterms:modified xsi:type="dcterms:W3CDTF">2026-10-23T08:50:00Z</dcterms:modified>
  <cp:revision>0</cp:revision>
  <dc:subject/>
  <dc:title/>
</cp:coreProperties>
</file>